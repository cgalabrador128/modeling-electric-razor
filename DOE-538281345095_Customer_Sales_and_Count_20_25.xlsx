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always" defaultThemeVersion="202300"/>
  <mc:AlternateContent xmlns:mc="http://schemas.openxmlformats.org/markup-compatibility/2006">
    <mc:Choice Requires="x15">
      <x15ac:absPath xmlns:x15ac="http://schemas.microsoft.com/office/spreadsheetml/2010/11/ac" url="C:\Users\mpaguel\Downloads\"/>
    </mc:Choice>
  </mc:AlternateContent>
  <xr:revisionPtr revIDLastSave="0" documentId="8_{6FF8C4B0-F9EF-457E-B44B-4D86066CFDA0}" xr6:coauthVersionLast="47" xr6:coauthVersionMax="47" xr10:uidLastSave="{00000000-0000-0000-0000-000000000000}"/>
  <bookViews>
    <workbookView xWindow="-108" yWindow="-108" windowWidth="23256" windowHeight="12456" tabRatio="795" firstSheet="1" activeTab="1" xr2:uid="{8E7D38DF-F8BD-451D-887C-8FB1CDACE550}"/>
  </bookViews>
  <sheets>
    <sheet name="Residential Non-Lifeline" sheetId="3" state="hidden" r:id="rId1"/>
    <sheet name="Sales and Customer Count" sheetId="5" r:id="rId2"/>
  </sheets>
  <definedNames>
    <definedName name="For_DOEweb">#REF!</definedName>
    <definedName name="FromArray_1">_xlfn.ANCHORARRAY(#REF!)</definedName>
    <definedName name="Slicer_EC_PDU31">#N/A</definedName>
    <definedName name="Slicer_GRID2">#N/A</definedName>
    <definedName name="Slicer_LVM1">#N/A</definedName>
    <definedName name="Slicer_Region2">#N/A</definedName>
    <definedName name="Slicer_ShortHand41">#N/A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5" l="1"/>
  <c r="M16" i="5"/>
  <c r="L16" i="5"/>
  <c r="K16" i="5"/>
  <c r="J16" i="5"/>
  <c r="I16" i="5"/>
  <c r="H16" i="5"/>
  <c r="G16" i="5"/>
  <c r="F16" i="5"/>
  <c r="E16" i="5"/>
  <c r="D16" i="5"/>
  <c r="C16" i="5"/>
  <c r="O15" i="5"/>
  <c r="O14" i="5"/>
  <c r="O13" i="5"/>
  <c r="O12" i="5"/>
  <c r="O16" i="5" s="1"/>
  <c r="N8" i="5"/>
  <c r="M8" i="5"/>
  <c r="L8" i="5"/>
  <c r="K8" i="5"/>
  <c r="J8" i="5"/>
  <c r="I8" i="5"/>
  <c r="H8" i="5"/>
  <c r="G8" i="5"/>
  <c r="F8" i="5"/>
  <c r="E8" i="5"/>
  <c r="D8" i="5"/>
  <c r="C8" i="5"/>
  <c r="O7" i="5"/>
  <c r="O6" i="5"/>
  <c r="O5" i="5"/>
  <c r="O4" i="5"/>
  <c r="O8" i="5" s="1"/>
  <c r="N33" i="5"/>
  <c r="M33" i="5"/>
  <c r="L33" i="5"/>
  <c r="K33" i="5"/>
  <c r="J33" i="5"/>
  <c r="I33" i="5"/>
  <c r="H33" i="5"/>
  <c r="G33" i="5"/>
  <c r="F33" i="5"/>
  <c r="E33" i="5"/>
  <c r="D33" i="5"/>
  <c r="C33" i="5"/>
  <c r="O32" i="5"/>
  <c r="O31" i="5"/>
  <c r="O30" i="5"/>
  <c r="O29" i="5"/>
  <c r="O33" i="5" s="1"/>
  <c r="N25" i="5"/>
  <c r="M25" i="5"/>
  <c r="L25" i="5"/>
  <c r="K25" i="5"/>
  <c r="J25" i="5"/>
  <c r="I25" i="5"/>
  <c r="H25" i="5"/>
  <c r="G25" i="5"/>
  <c r="F25" i="5"/>
  <c r="E25" i="5"/>
  <c r="D25" i="5"/>
  <c r="C25" i="5"/>
  <c r="O24" i="5"/>
  <c r="O23" i="5"/>
  <c r="O22" i="5"/>
  <c r="O21" i="5"/>
  <c r="O25" i="5" s="1"/>
  <c r="N50" i="5"/>
  <c r="M50" i="5"/>
  <c r="L50" i="5"/>
  <c r="K50" i="5"/>
  <c r="J50" i="5"/>
  <c r="I50" i="5"/>
  <c r="H50" i="5"/>
  <c r="G50" i="5"/>
  <c r="F50" i="5"/>
  <c r="E50" i="5"/>
  <c r="D50" i="5"/>
  <c r="C50" i="5"/>
  <c r="O49" i="5"/>
  <c r="O48" i="5"/>
  <c r="O47" i="5"/>
  <c r="O46" i="5"/>
  <c r="O50" i="5" s="1"/>
  <c r="N42" i="5"/>
  <c r="M42" i="5"/>
  <c r="L42" i="5"/>
  <c r="K42" i="5"/>
  <c r="J42" i="5"/>
  <c r="I42" i="5"/>
  <c r="H42" i="5"/>
  <c r="G42" i="5"/>
  <c r="F42" i="5"/>
  <c r="E42" i="5"/>
  <c r="D42" i="5"/>
  <c r="C42" i="5"/>
  <c r="O41" i="5"/>
  <c r="O40" i="5"/>
  <c r="O39" i="5"/>
  <c r="O38" i="5"/>
  <c r="O42" i="5" s="1"/>
  <c r="O72" i="5"/>
  <c r="O73" i="5"/>
  <c r="O74" i="5"/>
  <c r="O75" i="5"/>
  <c r="O55" i="5"/>
  <c r="O56" i="5"/>
  <c r="O57" i="5"/>
  <c r="O58" i="5"/>
  <c r="C59" i="5"/>
  <c r="D59" i="5"/>
  <c r="E59" i="5"/>
  <c r="F59" i="5"/>
  <c r="G59" i="5"/>
  <c r="H59" i="5"/>
  <c r="I59" i="5"/>
  <c r="J59" i="5"/>
  <c r="K59" i="5"/>
  <c r="L59" i="5"/>
  <c r="M59" i="5"/>
  <c r="N59" i="5"/>
  <c r="O63" i="5"/>
  <c r="O64" i="5"/>
  <c r="O65" i="5"/>
  <c r="O66" i="5"/>
  <c r="N67" i="5"/>
  <c r="M67" i="5"/>
  <c r="L67" i="5"/>
  <c r="K67" i="5"/>
  <c r="J67" i="5"/>
  <c r="I67" i="5"/>
  <c r="H67" i="5"/>
  <c r="G67" i="5"/>
  <c r="F67" i="5"/>
  <c r="E67" i="5"/>
  <c r="D67" i="5"/>
  <c r="C67" i="5"/>
  <c r="O67" i="5"/>
  <c r="O59" i="5"/>
  <c r="N84" i="5"/>
  <c r="M84" i="5"/>
  <c r="L84" i="5"/>
  <c r="K84" i="5"/>
  <c r="J84" i="5"/>
  <c r="I84" i="5"/>
  <c r="H84" i="5"/>
  <c r="G84" i="5"/>
  <c r="F84" i="5"/>
  <c r="E84" i="5"/>
  <c r="D84" i="5"/>
  <c r="C84" i="5"/>
  <c r="O83" i="5"/>
  <c r="O82" i="5"/>
  <c r="O81" i="5"/>
  <c r="O80" i="5"/>
  <c r="O84" i="5" s="1"/>
  <c r="N76" i="5"/>
  <c r="M76" i="5"/>
  <c r="L76" i="5"/>
  <c r="K76" i="5"/>
  <c r="J76" i="5"/>
  <c r="I76" i="5"/>
  <c r="H76" i="5"/>
  <c r="G76" i="5"/>
  <c r="F76" i="5"/>
  <c r="E76" i="5"/>
  <c r="D76" i="5"/>
  <c r="C76" i="5"/>
  <c r="O76" i="5"/>
  <c r="N101" i="5"/>
  <c r="O97" i="5"/>
  <c r="O100" i="5"/>
  <c r="O99" i="5"/>
  <c r="O98" i="5"/>
  <c r="M101" i="5"/>
  <c r="L101" i="5"/>
  <c r="K101" i="5"/>
  <c r="J101" i="5"/>
  <c r="I101" i="5"/>
  <c r="H101" i="5"/>
  <c r="G101" i="5"/>
  <c r="F101" i="5"/>
  <c r="E101" i="5"/>
  <c r="D101" i="5"/>
  <c r="C101" i="5"/>
  <c r="D93" i="5"/>
  <c r="E93" i="5"/>
  <c r="F93" i="5"/>
  <c r="G93" i="5"/>
  <c r="H93" i="5"/>
  <c r="I93" i="5"/>
  <c r="J93" i="5"/>
  <c r="K93" i="5"/>
  <c r="L93" i="5"/>
  <c r="M93" i="5"/>
  <c r="N93" i="5"/>
  <c r="C93" i="5"/>
  <c r="O90" i="5"/>
  <c r="O91" i="5"/>
  <c r="O92" i="5"/>
  <c r="O89" i="5"/>
  <c r="O93" i="5" s="1"/>
  <c r="BW159" i="3"/>
  <c r="BV159" i="3"/>
  <c r="BU159" i="3"/>
  <c r="BT159" i="3"/>
  <c r="CG158" i="3"/>
  <c r="CP153" i="3"/>
  <c r="CO153" i="3"/>
  <c r="CN153" i="3"/>
  <c r="CM153" i="3"/>
  <c r="CL153" i="3"/>
  <c r="CK153" i="3"/>
  <c r="CJ153" i="3"/>
  <c r="CI153" i="3"/>
  <c r="CH153" i="3"/>
  <c r="CG153" i="3"/>
  <c r="CF153" i="3"/>
  <c r="CA153" i="3"/>
  <c r="BZ153" i="3"/>
  <c r="BY153" i="3"/>
  <c r="BW153" i="3"/>
  <c r="BV153" i="3"/>
  <c r="BU153" i="3"/>
  <c r="BY144" i="3"/>
  <c r="BW142" i="3"/>
  <c r="BV142" i="3"/>
  <c r="BU142" i="3"/>
  <c r="CJ140" i="3"/>
  <c r="CA140" i="3"/>
  <c r="BZ140" i="3" s="1"/>
  <c r="BY140" i="3"/>
  <c r="BV140" i="3"/>
  <c r="BU140" i="3"/>
  <c r="CI137" i="3"/>
  <c r="BY133" i="3"/>
  <c r="BX133" i="3"/>
  <c r="BW133" i="3"/>
  <c r="BV133" i="3"/>
  <c r="BU133" i="3"/>
  <c r="CG132" i="3"/>
  <c r="BX132" i="3"/>
  <c r="BW132" i="3"/>
  <c r="BV132" i="3"/>
  <c r="BU132" i="3"/>
  <c r="CJ131" i="3"/>
  <c r="BU131" i="3"/>
  <c r="CA130" i="3"/>
  <c r="CP127" i="3"/>
  <c r="CN127" i="3"/>
  <c r="CK127" i="3"/>
  <c r="CJ127" i="3"/>
  <c r="CI127" i="3"/>
  <c r="CH127" i="3"/>
  <c r="CG127" i="3"/>
  <c r="CA127" i="3"/>
  <c r="BZ127" i="3"/>
  <c r="BY127" i="3"/>
  <c r="BX127" i="3"/>
  <c r="BW127" i="3"/>
  <c r="BV127" i="3"/>
  <c r="BU127" i="3"/>
  <c r="BW122" i="3"/>
  <c r="BV122" i="3"/>
  <c r="BU121" i="3"/>
  <c r="BY117" i="3"/>
  <c r="BW117" i="3"/>
  <c r="BV117" i="3"/>
  <c r="BU117" i="3"/>
  <c r="CI116" i="3"/>
  <c r="CH116" i="3"/>
  <c r="CG116" i="3"/>
  <c r="CF116" i="3"/>
  <c r="CA116" i="3"/>
  <c r="BZ116" i="3"/>
  <c r="BY116" i="3"/>
  <c r="CP115" i="3"/>
  <c r="CO115" i="3"/>
  <c r="CN115" i="3"/>
  <c r="CM115" i="3"/>
  <c r="CL115" i="3"/>
  <c r="CK115" i="3"/>
  <c r="CJ115" i="3"/>
  <c r="CI115" i="3"/>
  <c r="CH115" i="3"/>
  <c r="CG115" i="3"/>
  <c r="CF115" i="3"/>
  <c r="CA115" i="3"/>
  <c r="BZ115" i="3"/>
  <c r="BY115" i="3"/>
  <c r="BX115" i="3"/>
  <c r="BW115" i="3"/>
  <c r="CO109" i="3"/>
  <c r="CN109" i="3"/>
  <c r="BU107" i="3"/>
  <c r="CG99" i="3"/>
  <c r="CF99" i="3"/>
  <c r="BW99" i="3"/>
  <c r="BV99" i="3"/>
  <c r="BU99" i="3"/>
  <c r="BT99" i="3"/>
  <c r="BS99" i="3"/>
  <c r="BR99" i="3"/>
  <c r="BQ99" i="3"/>
  <c r="BP99" i="3"/>
  <c r="BX97" i="3"/>
  <c r="BW96" i="3"/>
  <c r="CP95" i="3"/>
  <c r="CO95" i="3"/>
  <c r="CN95" i="3"/>
  <c r="CM95" i="3"/>
  <c r="CL95" i="3"/>
  <c r="CK95" i="3"/>
  <c r="CJ95" i="3"/>
  <c r="CI95" i="3"/>
  <c r="CH95" i="3"/>
  <c r="CG95" i="3"/>
  <c r="CF95" i="3"/>
  <c r="CA94" i="3"/>
  <c r="BT94" i="3"/>
  <c r="BS94" i="3"/>
  <c r="BR94" i="3"/>
  <c r="BV87" i="3"/>
  <c r="BU87" i="3"/>
  <c r="BT87" i="3"/>
  <c r="CH86" i="3"/>
  <c r="BV86" i="3"/>
  <c r="BU86" i="3"/>
  <c r="CP85" i="3"/>
  <c r="CO85" i="3"/>
  <c r="CN85" i="3"/>
  <c r="CI85" i="3"/>
  <c r="CH85" i="3"/>
  <c r="CG85" i="3"/>
  <c r="BU84" i="3"/>
  <c r="BZ83" i="3"/>
  <c r="BY83" i="3"/>
  <c r="BW83" i="3"/>
  <c r="BV83" i="3"/>
  <c r="BU83" i="3"/>
  <c r="CI81" i="3"/>
  <c r="CM80" i="3"/>
  <c r="CI80" i="3"/>
  <c r="CG80" i="3"/>
  <c r="BY77" i="3"/>
  <c r="BW77" i="3"/>
  <c r="BV77" i="3"/>
  <c r="BU77" i="3"/>
  <c r="CA72" i="3"/>
  <c r="BU71" i="3"/>
  <c r="BZ70" i="3"/>
  <c r="BV69" i="3"/>
  <c r="BU69" i="3"/>
  <c r="CP66" i="3"/>
  <c r="CG66" i="3"/>
  <c r="CF66" i="3"/>
  <c r="CE66" i="3"/>
  <c r="CD66" i="3"/>
  <c r="BV65" i="3"/>
  <c r="BU65" i="3"/>
  <c r="BT65" i="3"/>
  <c r="BU60" i="3"/>
  <c r="CK58" i="3"/>
  <c r="CF58" i="3"/>
  <c r="BW57" i="3"/>
  <c r="CQ55" i="3"/>
  <c r="CP55" i="3"/>
  <c r="CO55" i="3"/>
  <c r="CN55" i="3"/>
  <c r="CM55" i="3"/>
  <c r="CK55" i="3"/>
  <c r="CJ55" i="3"/>
  <c r="CI55" i="3"/>
  <c r="CH55" i="3"/>
  <c r="CG55" i="3"/>
  <c r="CF55" i="3"/>
  <c r="CA55" i="3"/>
  <c r="BZ55" i="3"/>
  <c r="BY55" i="3"/>
  <c r="BW55" i="3"/>
  <c r="BV55" i="3"/>
  <c r="BU55" i="3"/>
  <c r="AQ55" i="3"/>
  <c r="AP55" i="3"/>
  <c r="AO55" i="3"/>
  <c r="AN55" i="3"/>
  <c r="AM55" i="3"/>
  <c r="AL55" i="3"/>
  <c r="AK55" i="3"/>
  <c r="AJ55" i="3"/>
  <c r="AI55" i="3"/>
  <c r="AH55" i="3"/>
  <c r="AG55" i="3"/>
  <c r="AF55" i="3"/>
  <c r="AE55" i="3"/>
  <c r="AD55" i="3"/>
  <c r="AC55" i="3"/>
  <c r="AB55" i="3"/>
  <c r="CM54" i="3"/>
  <c r="BW54" i="3"/>
  <c r="BV54" i="3"/>
  <c r="BU54" i="3"/>
  <c r="CP53" i="3"/>
  <c r="CO53" i="3"/>
  <c r="CN53" i="3"/>
  <c r="CM53" i="3"/>
  <c r="CL53" i="3"/>
  <c r="CK53" i="3"/>
  <c r="CJ53" i="3"/>
  <c r="CI53" i="3"/>
  <c r="CH53" i="3"/>
  <c r="CG53" i="3"/>
  <c r="CF53" i="3"/>
  <c r="CA53" i="3"/>
  <c r="BZ53" i="3"/>
  <c r="BY53" i="3"/>
  <c r="BW53" i="3"/>
  <c r="BV53" i="3"/>
  <c r="CP51" i="3"/>
  <c r="CO51" i="3"/>
  <c r="CN51" i="3"/>
  <c r="CM51" i="3"/>
  <c r="CL51" i="3"/>
  <c r="CK51" i="3"/>
  <c r="CI51" i="3"/>
  <c r="CH51" i="3"/>
  <c r="CG51" i="3"/>
  <c r="CF51" i="3"/>
  <c r="CE51" i="3"/>
  <c r="CA51" i="3"/>
  <c r="BZ51" i="3"/>
  <c r="BY51" i="3"/>
  <c r="BX51" i="3"/>
  <c r="BW51" i="3"/>
  <c r="BV51" i="3"/>
  <c r="BU51" i="3"/>
  <c r="CQ50" i="3"/>
  <c r="CO50" i="3"/>
  <c r="CN50" i="3"/>
  <c r="CM50" i="3"/>
  <c r="CL50" i="3"/>
  <c r="CK50" i="3"/>
  <c r="CJ50" i="3"/>
  <c r="CH50" i="3"/>
  <c r="CG50" i="3"/>
  <c r="CF50" i="3"/>
  <c r="CA50" i="3"/>
  <c r="BZ50" i="3"/>
  <c r="BY50" i="3"/>
  <c r="BW50" i="3"/>
  <c r="BV50" i="3"/>
  <c r="BU50" i="3"/>
  <c r="BW49" i="3"/>
  <c r="BV49" i="3"/>
  <c r="BU49" i="3"/>
  <c r="BU48" i="3"/>
  <c r="BT48" i="3"/>
  <c r="CN42" i="3"/>
  <c r="CM42" i="3"/>
  <c r="CP38" i="3"/>
  <c r="CO38" i="3"/>
  <c r="CN38" i="3"/>
  <c r="CM38" i="3"/>
  <c r="CL38" i="3"/>
  <c r="CK38" i="3"/>
  <c r="CJ38" i="3"/>
  <c r="CI38" i="3"/>
  <c r="CH38" i="3"/>
  <c r="CG38" i="3"/>
  <c r="CF38" i="3"/>
  <c r="CE38" i="3"/>
  <c r="CA38" i="3"/>
  <c r="BZ38" i="3"/>
  <c r="BY38" i="3"/>
  <c r="BW38" i="3"/>
  <c r="BV38" i="3"/>
  <c r="BU38" i="3"/>
  <c r="BV36" i="3"/>
  <c r="BU36" i="3"/>
  <c r="BZ35" i="3"/>
  <c r="BY35" i="3"/>
  <c r="BX35" i="3"/>
  <c r="BW35" i="3"/>
  <c r="BV35" i="3"/>
  <c r="BU35" i="3"/>
  <c r="CA33" i="3"/>
  <c r="BZ33" i="3"/>
  <c r="BY33" i="3"/>
  <c r="BX33" i="3"/>
  <c r="BW33" i="3"/>
  <c r="BV33" i="3"/>
  <c r="BU33" i="3"/>
  <c r="BT33" i="3"/>
  <c r="CK32" i="3"/>
  <c r="CI32" i="3"/>
  <c r="CA32" i="3"/>
  <c r="BZ32" i="3"/>
  <c r="BR31" i="3"/>
  <c r="BQ31" i="3"/>
  <c r="BP31" i="3"/>
  <c r="BV29" i="3"/>
  <c r="BU29" i="3"/>
  <c r="BU28" i="3"/>
  <c r="BU24" i="3"/>
  <c r="CM23" i="3"/>
  <c r="CL23" i="3"/>
  <c r="CK23" i="3"/>
  <c r="CJ23" i="3"/>
  <c r="CI23" i="3"/>
  <c r="CH23" i="3"/>
  <c r="CG23" i="3"/>
  <c r="CA23" i="3"/>
  <c r="BZ23" i="3"/>
  <c r="BY23" i="3"/>
  <c r="BX23" i="3"/>
  <c r="BW23" i="3"/>
  <c r="BV23" i="3"/>
  <c r="BU23" i="3"/>
  <c r="BZ22" i="3"/>
  <c r="BW22" i="3"/>
  <c r="BU22" i="3"/>
  <c r="BT22" i="3"/>
  <c r="BS22" i="3"/>
  <c r="BP22" i="3"/>
  <c r="BV21" i="3"/>
  <c r="BU21" i="3"/>
  <c r="CI20" i="3"/>
  <c r="BZ18" i="3"/>
  <c r="CA18" i="3" s="1"/>
  <c r="CB18" i="3" s="1"/>
  <c r="CC18" i="3" s="1"/>
  <c r="CD18" i="3" s="1"/>
  <c r="CE18" i="3" s="1"/>
  <c r="CF18" i="3" s="1"/>
  <c r="CG18" i="3" s="1"/>
  <c r="CH18" i="3" s="1"/>
  <c r="CI18" i="3" s="1"/>
  <c r="CJ18" i="3" s="1"/>
  <c r="CK18" i="3" s="1"/>
  <c r="CL18" i="3" s="1"/>
  <c r="CM18" i="3" s="1"/>
  <c r="CN18" i="3" s="1"/>
  <c r="CO18" i="3" s="1"/>
  <c r="CP18" i="3" s="1"/>
  <c r="CQ18" i="3" s="1"/>
  <c r="CN7" i="3"/>
  <c r="BM6" i="3"/>
  <c r="O10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BY153" authorId="0" shapeId="0" xr:uid="{24E768CE-0628-4F1C-9801-96892748D881}">
      <text>
        <r>
          <rPr>
            <b/>
            <sz val="9"/>
            <color indexed="81"/>
            <rFont val="Tahoma"/>
            <family val="2"/>
          </rPr>
          <t>ACER:</t>
        </r>
        <r>
          <rPr>
            <sz val="9"/>
            <color indexed="81"/>
            <rFont val="Tahoma"/>
            <family val="2"/>
          </rPr>
          <t xml:space="preserve">
jbv 13 10 23</t>
        </r>
      </text>
    </comment>
  </commentList>
</comments>
</file>

<file path=xl/sharedStrings.xml><?xml version="1.0" encoding="utf-8"?>
<sst xmlns="http://schemas.openxmlformats.org/spreadsheetml/2006/main" count="1240" uniqueCount="471">
  <si>
    <t xml:space="preserve"> </t>
  </si>
  <si>
    <t>DU RETAIL RATES, 2018-2023</t>
  </si>
  <si>
    <t>No.</t>
  </si>
  <si>
    <t>Distribution Utility</t>
  </si>
  <si>
    <t>ShortHand</t>
  </si>
  <si>
    <t>GRID</t>
  </si>
  <si>
    <t>Region</t>
  </si>
  <si>
    <t>Island</t>
  </si>
  <si>
    <t>EC/PDU</t>
  </si>
  <si>
    <t>Jan-18</t>
  </si>
  <si>
    <t>Feb-18</t>
  </si>
  <si>
    <t>Mar-18</t>
  </si>
  <si>
    <t>Apr-18</t>
  </si>
  <si>
    <t>May-18</t>
  </si>
  <si>
    <t>Jun-18</t>
  </si>
  <si>
    <t>Jul-18</t>
  </si>
  <si>
    <t>Aug-18</t>
  </si>
  <si>
    <t>Sep-18</t>
  </si>
  <si>
    <t>Oct-18</t>
  </si>
  <si>
    <t>Nov-18</t>
  </si>
  <si>
    <t>Dec-18</t>
  </si>
  <si>
    <t>Jan-19</t>
  </si>
  <si>
    <t>Feb-19</t>
  </si>
  <si>
    <t>Mar-19</t>
  </si>
  <si>
    <t>Apr-19</t>
  </si>
  <si>
    <t>May-19</t>
  </si>
  <si>
    <t>Jun-19</t>
  </si>
  <si>
    <t>Jul-19</t>
  </si>
  <si>
    <t>Aug-19</t>
  </si>
  <si>
    <t>Sep-19</t>
  </si>
  <si>
    <t>Oct-19</t>
  </si>
  <si>
    <t>Nov-19</t>
  </si>
  <si>
    <t>Dec-19</t>
  </si>
  <si>
    <t>Jan-20</t>
  </si>
  <si>
    <t>Feb-20</t>
  </si>
  <si>
    <t>Mar-20</t>
  </si>
  <si>
    <t>Apr-20</t>
  </si>
  <si>
    <t>May-20</t>
  </si>
  <si>
    <t>Jun-20</t>
  </si>
  <si>
    <t>Jul-20</t>
  </si>
  <si>
    <t>Aug-20</t>
  </si>
  <si>
    <t>Sep-20</t>
  </si>
  <si>
    <t>Oct-20</t>
  </si>
  <si>
    <t>Nov-20</t>
  </si>
  <si>
    <t>Dec-20</t>
  </si>
  <si>
    <t>Jan-21</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</si>
  <si>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</si>
  <si>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</si>
  <si>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</si>
  <si>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</si>
  <si>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</si>
  <si>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</si>
  <si>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</si>
  <si>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</si>
  <si>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</si>
  <si>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</si>
  <si>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</si>
  <si>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</si>
  <si>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</si>
  <si>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</si>
  <si>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</si>
  <si>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</si>
  <si>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</si>
  <si>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</si>
  <si>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</si>
  <si>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</si>
  <si>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</si>
  <si>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</si>
  <si>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</si>
  <si>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</si>
  <si>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</si>
  <si>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</si>
  <si>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</si>
  <si>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</si>
  <si>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</si>
  <si>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</si>
  <si>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</si>
  <si>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</si>
  <si>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</si>
  <si>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</si>
  <si>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</si>
  <si>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</si>
  <si>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</si>
  <si>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</si>
  <si>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</si>
  <si>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</si>
  <si>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</si>
  <si>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</si>
  <si>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</si>
  <si>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</si>
  <si>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</si>
  <si>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</si>
  <si>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</si>
  <si>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</si>
  <si>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</si>
  <si>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Mar-25</t>
  </si>
  <si>
    <t>Apr-25</t>
  </si>
  <si>
    <t>May-25</t>
  </si>
  <si>
    <t>Jun-25</t>
  </si>
  <si>
    <t>Jul-25</t>
  </si>
  <si>
    <t>Aug-25</t>
  </si>
  <si>
    <t>Sep-25</t>
  </si>
  <si>
    <t>Oct-25</t>
  </si>
  <si>
    <t>Nov-25</t>
  </si>
  <si>
    <t>Dec-25</t>
  </si>
  <si>
    <t xml:space="preserve"> ABRA ELECTRIC COOPERATIVE, INC. (ABRECO) </t>
  </si>
  <si>
    <t>ABRECO</t>
  </si>
  <si>
    <t>ON-GRID</t>
  </si>
  <si>
    <t>CAR</t>
  </si>
  <si>
    <t>Luzon</t>
  </si>
  <si>
    <t>Electric Cooperative</t>
  </si>
  <si>
    <t xml:space="preserve"> ANGELES ELECTRIC CORP. (AEC) </t>
  </si>
  <si>
    <t>AEC</t>
  </si>
  <si>
    <t>Region 3</t>
  </si>
  <si>
    <t>PIOU</t>
  </si>
  <si>
    <t xml:space="preserve"> AKLAN ELECTRIC COOPERATIVE, INC. (AKELCO) </t>
  </si>
  <si>
    <t>AKELCO</t>
  </si>
  <si>
    <t>Region 6</t>
  </si>
  <si>
    <t>Visayas</t>
  </si>
  <si>
    <t xml:space="preserve"> ALBAY ELECTRIC COOPERATIVE, INC./ALBAY POWER AND ENERGY CORPORATION (ALECO/APEC) </t>
  </si>
  <si>
    <t>ALECO</t>
  </si>
  <si>
    <t>Region 5</t>
  </si>
  <si>
    <t xml:space="preserve"> AGUSAN DEL NORTE ELECTRIC COOPERATIVE, INC. (ANECO) </t>
  </si>
  <si>
    <t>ANECO</t>
  </si>
  <si>
    <t>CARAGA</t>
  </si>
  <si>
    <t>Mindanao</t>
  </si>
  <si>
    <t xml:space="preserve"> ANTIQUE ELECTRIC COOPERATIVE, INC. (ANTECO) </t>
  </si>
  <si>
    <t>ANTECO</t>
  </si>
  <si>
    <t xml:space="preserve"> AGUSAN DEL SUR ELECTRIC COOPERATIVE, INC. (ASELCO) </t>
  </si>
  <si>
    <t>ASELCO</t>
  </si>
  <si>
    <t xml:space="preserve"> AURORA ELECTRIC COOPERATIVE, INC. (AURELCO) </t>
  </si>
  <si>
    <t>AURELCO</t>
  </si>
  <si>
    <t xml:space="preserve"> BANTAYAN ELECTRIC COOPERATIVE, INC. (BANELCO) </t>
  </si>
  <si>
    <t>BANELCO</t>
  </si>
  <si>
    <t>OFF-GRID</t>
  </si>
  <si>
    <t>Region 7</t>
  </si>
  <si>
    <t xml:space="preserve"> BASILAN ELECTRIC COOPERATIVE, INC. (BASELCO) </t>
  </si>
  <si>
    <t>BASELCO</t>
  </si>
  <si>
    <t>ARMM</t>
  </si>
  <si>
    <t xml:space="preserve"> BATANES ELECTRIC COOPERATIVE, INC. (BATANELCO) </t>
  </si>
  <si>
    <t>BATANELCO</t>
  </si>
  <si>
    <t>Region 2</t>
  </si>
  <si>
    <t xml:space="preserve"> BATANGAS I ELECTRIC COOPERATIVE, INC (BATELEC I) </t>
  </si>
  <si>
    <t>BATELEC I</t>
  </si>
  <si>
    <t>Region 4-A (CALABARZON)</t>
  </si>
  <si>
    <t xml:space="preserve"> BATANGAS II ELECTRIC COOPERATIVE, INC (BATELEC II) </t>
  </si>
  <si>
    <t>BATELEC II</t>
  </si>
  <si>
    <t xml:space="preserve"> BENGUET ELECTRIC COOPERATIVE, INC. (BENECO) </t>
  </si>
  <si>
    <t>BENECO</t>
  </si>
  <si>
    <t>Balamban Enerzone Corporation</t>
  </si>
  <si>
    <t>BEZ</t>
  </si>
  <si>
    <t>Ecozones</t>
  </si>
  <si>
    <t xml:space="preserve"> BILIRAN ELECTRIC COOPERATIVE, INC. (BILECO) </t>
  </si>
  <si>
    <t>BILECO</t>
  </si>
  <si>
    <t>Region 8</t>
  </si>
  <si>
    <t xml:space="preserve"> BUSUANGA ISLAND ELECTRIC COOPERATIVE, INC. (BISELCO) </t>
  </si>
  <si>
    <t>BISELCO</t>
  </si>
  <si>
    <t>Region 4-B (MIMAROPA)</t>
  </si>
  <si>
    <t xml:space="preserve"> BOHOL LIGHT COMPANY INC. (BLCI) </t>
  </si>
  <si>
    <t>BLCI</t>
  </si>
  <si>
    <t xml:space="preserve"> BOHOL I ELECTRIC COOPERATIVE, INC. (BOHECO I) </t>
  </si>
  <si>
    <t>BOHECO I</t>
  </si>
  <si>
    <t xml:space="preserve"> BOHOL II ELECTRIC COOPERATIVE, INC. (BOHECO II) </t>
  </si>
  <si>
    <t>BOHECO II</t>
  </si>
  <si>
    <t xml:space="preserve"> BUKIDNON II ELECTRIC COOPERATIVE, INC. - BUSECO (2ND BUKIDNON) </t>
  </si>
  <si>
    <t>BUSECO</t>
  </si>
  <si>
    <t>Region 10</t>
  </si>
  <si>
    <t xml:space="preserve"> CAGAYAN I ELECTRIC COOPERATIVE, INC. (CAGELCO I) </t>
  </si>
  <si>
    <t>CAGELCO I</t>
  </si>
  <si>
    <t xml:space="preserve"> CAGAYAN II ELECTRIC COOPERATIVE, INC (CAGELCO II) </t>
  </si>
  <si>
    <t>CAGELCO II</t>
  </si>
  <si>
    <t xml:space="preserve"> CAMIGUIN ISLAND ELECTRIC COOPERATIVE, INC. (CAMELCO) </t>
  </si>
  <si>
    <t>CAMELCO</t>
  </si>
  <si>
    <t xml:space="preserve"> CAMARINES NORTE ELECTRIC COOPERATIVE, INC. (CANORECO) </t>
  </si>
  <si>
    <t>CANORECO</t>
  </si>
  <si>
    <t xml:space="preserve"> CAPIZ ELECTRIC COOPERATIVE, INC. (CAPELCO) </t>
  </si>
  <si>
    <t>CAPELCO</t>
  </si>
  <si>
    <t xml:space="preserve"> CAGAYAN DE SULU ELECTRIC COOPERATIVE, INC. (CASELCO) </t>
  </si>
  <si>
    <t>CASELCO</t>
  </si>
  <si>
    <t xml:space="preserve"> CAMARINES SUR I ELECTRIC COOPERATIVE, INC. (CASURECO I) </t>
  </si>
  <si>
    <t>CASURECO I</t>
  </si>
  <si>
    <t xml:space="preserve"> CAMARINES SUR II ELECTRIC COOPERATIVE, INC. (CASURECO II) </t>
  </si>
  <si>
    <t>CASURECO II</t>
  </si>
  <si>
    <t xml:space="preserve"> CAMARINES SUR III ELECTRIC COOPERATIVE, INC. (CASURECO III) </t>
  </si>
  <si>
    <t>CASURECO III</t>
  </si>
  <si>
    <t xml:space="preserve"> CAMARINES SUR IV ELECTRIC COOPERATIVE, INC. (CASURECO IV) </t>
  </si>
  <si>
    <t>CASURECO IV</t>
  </si>
  <si>
    <t xml:space="preserve"> CEBU I ELECTRIC COOPERATIVE, INC. (CEBECO I) </t>
  </si>
  <si>
    <t>CEBECO I</t>
  </si>
  <si>
    <t xml:space="preserve"> CEBU II ELECTRIC COOPERATIVE, INC. (CEBECO II) </t>
  </si>
  <si>
    <t>CEBECO II</t>
  </si>
  <si>
    <t xml:space="preserve"> CEBU III ELECTRIC COOPERATIVE, INC. (CEBECO III) </t>
  </si>
  <si>
    <t>CEBECO III</t>
  </si>
  <si>
    <t xml:space="preserve"> CLARK ELECTRIC DISTRIBUTION CORP. (CEDC) </t>
  </si>
  <si>
    <t>CEDC</t>
  </si>
  <si>
    <t xml:space="preserve"> CAMOTES ELECTRIC COOPERATIVE, INC. (CELCO) </t>
  </si>
  <si>
    <t>CELCO</t>
  </si>
  <si>
    <t xml:space="preserve"> CABANATUAN ELECTRIC CORP. (CELCOR) </t>
  </si>
  <si>
    <t>CELCOR</t>
  </si>
  <si>
    <t xml:space="preserve"> CENTRAL NEGROS ELECTRIC COOPERATIVE, INC. (CENECO) / NEGROS ELECTRIC AND POWER CORPORATION (NEPC)</t>
  </si>
  <si>
    <t>CENECO</t>
  </si>
  <si>
    <t xml:space="preserve"> CENTRAL PANGASINAN ELECTRIC COOPERATIVE, INC. (CENPELCO) </t>
  </si>
  <si>
    <t>CENPELCO</t>
  </si>
  <si>
    <t>Region 1</t>
  </si>
  <si>
    <t xml:space="preserve"> CAGAYAN ELECTRIC POWER &amp; LIGHT CO. INC. (CEPALCO) </t>
  </si>
  <si>
    <t>CEPALCO</t>
  </si>
  <si>
    <t>15.34 </t>
  </si>
  <si>
    <t>14.13 </t>
  </si>
  <si>
    <t>13.6 </t>
  </si>
  <si>
    <t>14.39 </t>
  </si>
  <si>
    <t>13.58 </t>
  </si>
  <si>
    <t xml:space="preserve"> COTABATO LIGHT &amp; POWER COMPANY (COTABATO LIGHT / CLPC) </t>
  </si>
  <si>
    <t>CLPC</t>
  </si>
  <si>
    <t>Region 12</t>
  </si>
  <si>
    <t xml:space="preserve"> NORTH COTABATO ELECTRIC COOPERATIVE, INC. (COTELCO) </t>
  </si>
  <si>
    <t>COTELCO</t>
  </si>
  <si>
    <t xml:space="preserve"> DAVAO DEL NORTE ELECTRIC COOPERATIVE, INC. / NORTHERN DAVAO ELECTRIC COOPERATIVE, INC. (DANECO / NORDECO) </t>
  </si>
  <si>
    <t>DANECO</t>
  </si>
  <si>
    <t>Region 11</t>
  </si>
  <si>
    <t xml:space="preserve"> DAVAO DEL SUR ELECTRIC COOPERATIVE, INC. (DASURECO) </t>
  </si>
  <si>
    <t>DASURECO</t>
  </si>
  <si>
    <t xml:space="preserve"> DAGUPAN ELECTRIC CORP. (DECORP) </t>
  </si>
  <si>
    <t>DECORP</t>
  </si>
  <si>
    <t xml:space="preserve"> DINAGAT ISLAND ELECTRIC COOPERATIVE, INC. (DIELCO) </t>
  </si>
  <si>
    <t>DIELCO</t>
  </si>
  <si>
    <t xml:space="preserve"> DAVAO LIGHT &amp; POWER COMPANY INC. (DAVAO LIGHT / DLPC) </t>
  </si>
  <si>
    <t>DLPC</t>
  </si>
  <si>
    <t xml:space="preserve"> DAVAO ORIENTAL ELECTRIC COOPERATIVE, INC. (DORECO) </t>
  </si>
  <si>
    <t>DORECO</t>
  </si>
  <si>
    <t xml:space="preserve"> EASTERN SAMAR ELECTRIC COOPERATIVE, INC. (ESAMELCO) </t>
  </si>
  <si>
    <t>ESAMELCO</t>
  </si>
  <si>
    <t xml:space="preserve"> FIRST BAY POWER CORP. (FBPC) / FORMERLY BELS </t>
  </si>
  <si>
    <t>FBPC</t>
  </si>
  <si>
    <t>3.54 </t>
  </si>
  <si>
    <t>4.84 </t>
  </si>
  <si>
    <t>4.98 </t>
  </si>
  <si>
    <t xml:space="preserve"> FIRST BUKIDNON ELECTRIC COOPERATIVE, INC. (FIBECO) </t>
  </si>
  <si>
    <t>FIBECO</t>
  </si>
  <si>
    <t xml:space="preserve"> FIRST CATANDUANES ELECTRIC COOPERATIVE, INC. (FICELCO) </t>
  </si>
  <si>
    <t>FICELCO</t>
  </si>
  <si>
    <t xml:space="preserve"> FIRST LAGUNA ELECTRIC COOPERATIVE, INC. (FLECO) </t>
  </si>
  <si>
    <t>FLECO</t>
  </si>
  <si>
    <t xml:space="preserve"> GUIMARAS ELECTRIC COOPERATIVE, INC. (GUIMELCO) </t>
  </si>
  <si>
    <t>GUIMELCO</t>
  </si>
  <si>
    <t xml:space="preserve"> IBAAN ELECTRIC &amp; ENGINEERING CORP. (IEEC / IEC) </t>
  </si>
  <si>
    <t>IEEC</t>
  </si>
  <si>
    <t>10.61 </t>
  </si>
  <si>
    <t>10.71 </t>
  </si>
  <si>
    <t>10.45 </t>
  </si>
  <si>
    <t xml:space="preserve"> IFUGAO ELECTRIC COOPERATIVE, INC. (IFELCO) </t>
  </si>
  <si>
    <t>IFELCO</t>
  </si>
  <si>
    <t xml:space="preserve"> ILOILO I ELECTRIC COOPERATIVE, INC. (ILECO I) </t>
  </si>
  <si>
    <t>ILECO I</t>
  </si>
  <si>
    <t xml:space="preserve"> ILOILO II ELECTRIC COOPERATIVE, INC. (ILECO II) </t>
  </si>
  <si>
    <t>ILECO II</t>
  </si>
  <si>
    <t xml:space="preserve"> ILOILO III ELECTRIC COOPERATIVE, INC. (ILECO III)  </t>
  </si>
  <si>
    <t>ILECO III</t>
  </si>
  <si>
    <t xml:space="preserve"> ILIGAN LIGHT &amp; POWER INC. (ILPI) </t>
  </si>
  <si>
    <t>ILPI</t>
  </si>
  <si>
    <t xml:space="preserve"> ILOCOS NORTE ELECTRIC COOPERATIVE, INC. (INEC) </t>
  </si>
  <si>
    <t>INEC</t>
  </si>
  <si>
    <t xml:space="preserve"> ILOCOS SUR ELECTRIC COOPERATIVE, INC. (ISECO) </t>
  </si>
  <si>
    <t>ISECO</t>
  </si>
  <si>
    <t xml:space="preserve"> ISABELA I ELECTRIC COOPERATIVE, INC. (ISELCO I) </t>
  </si>
  <si>
    <t>ISELCO I</t>
  </si>
  <si>
    <t xml:space="preserve"> ISABELA II ELECTRIC COOPERATIVE, INC. (ISELCO II) </t>
  </si>
  <si>
    <t>ISELCO II</t>
  </si>
  <si>
    <t xml:space="preserve"> KALINGA APAYAO ELECTRIC COOPERATIVE, INC. (KAELCO) </t>
  </si>
  <si>
    <t>KAELCO</t>
  </si>
  <si>
    <t xml:space="preserve"> LANAO DEL NORTE ELECTRIC COOPERATIVE, INC. (LANECO) </t>
  </si>
  <si>
    <t>LANECO</t>
  </si>
  <si>
    <t xml:space="preserve"> LANAO DEL SUR ELECTRIC COOPERATIVE, INC. (LASURECO) </t>
  </si>
  <si>
    <t>LASURECO</t>
  </si>
  <si>
    <t xml:space="preserve"> LEYTE I ELECTRIC COOPERATIVE, INC. - DON ORESTES ROMUALDEZ ELECT. COOP., INC. (LEYECO I) - (DORELCO) </t>
  </si>
  <si>
    <t>LEYECO 1</t>
  </si>
  <si>
    <t xml:space="preserve"> LEYTE II ELECTRIC COOPERATIVE, INC. (LEYECO II) </t>
  </si>
  <si>
    <t>LEYECO II</t>
  </si>
  <si>
    <t xml:space="preserve"> LEYTE III ELECTRIC COOPERATIVE, INC. (LEYECO III) </t>
  </si>
  <si>
    <t>LEYECO III</t>
  </si>
  <si>
    <t xml:space="preserve"> LEYTE IV ELECTRIC COOPERATIVE, INC. (LEYECO IV) </t>
  </si>
  <si>
    <t>LEYECO IV</t>
  </si>
  <si>
    <t xml:space="preserve"> LEYTE V ELECTRIC COOPERATIVE, INC. (LEYECO V) </t>
  </si>
  <si>
    <t>LEYECO V</t>
  </si>
  <si>
    <t>Lima Enerzone Corporation (Formerly Lima Utilities Corporation)</t>
  </si>
  <si>
    <t>LEZ</t>
  </si>
  <si>
    <t xml:space="preserve"> LUBANG ELECTRIC COOPERATIVE, INC. (LUBELCO) </t>
  </si>
  <si>
    <t>LUBELCO</t>
  </si>
  <si>
    <t xml:space="preserve"> LA UNION ELECTRIC COMPANY INC. (LUECO) </t>
  </si>
  <si>
    <t>LUECO</t>
  </si>
  <si>
    <t xml:space="preserve"> LA UNION ELECTRIC COOPERATIVE, INC. (LUELCO) </t>
  </si>
  <si>
    <t>LUELCO</t>
  </si>
  <si>
    <t xml:space="preserve"> MAGUINDANAO ELECTRIC COOPERATIVE, INC. (MAGELCO) </t>
  </si>
  <si>
    <t>MAGELCO</t>
  </si>
  <si>
    <t>MALVAR ENERZONE CORPORATION</t>
  </si>
  <si>
    <t>MALVEZ</t>
  </si>
  <si>
    <t xml:space="preserve"> MARINDUQUE ELECTRIC COOPERATIVE, INC. (MARELCO) </t>
  </si>
  <si>
    <t>MARELCO</t>
  </si>
  <si>
    <t xml:space="preserve"> MASBATE ELECTRIC COOPERATIVE, INC. (MASELCO) </t>
  </si>
  <si>
    <t>MASELCO</t>
  </si>
  <si>
    <t>9.96​</t>
  </si>
  <si>
    <t>10.00​</t>
  </si>
  <si>
    <t>10.69 ​</t>
  </si>
  <si>
    <t>10.88 ​</t>
  </si>
  <si>
    <t>10.50 ​</t>
  </si>
  <si>
    <t xml:space="preserve"> MACTAN ELECTRIC COMPANY INC. (MECO) </t>
  </si>
  <si>
    <t>MECO</t>
  </si>
  <si>
    <t xml:space="preserve"> MANILA ELECTRIC COMPANY (MERALCO)  </t>
  </si>
  <si>
    <t>MERALCO</t>
  </si>
  <si>
    <t>NCR</t>
  </si>
  <si>
    <t>Mactan Enerzone Corporation</t>
  </si>
  <si>
    <t>MEZ</t>
  </si>
  <si>
    <t xml:space="preserve"> MISAMIS OCCIDENTAL I ELECTRIC COOPERATIVE, INC. (MOELCI I) </t>
  </si>
  <si>
    <t>MOELCI I</t>
  </si>
  <si>
    <t xml:space="preserve"> MISAMIS OCCIDENTAL II ELECTRIC COOPERATIVE, INC. (MOELCI II) </t>
  </si>
  <si>
    <t>MOELCI II</t>
  </si>
  <si>
    <t xml:space="preserve"> MT/MOUNTAIN PROVINCE ELECTRIC COOPERATIVE, INC. (MOPRECO) </t>
  </si>
  <si>
    <t>MOPRECO</t>
  </si>
  <si>
    <t xml:space="preserve"> MORE ELECTRIC &amp; POWER CORP. (MORE POWER/MEPC) </t>
  </si>
  <si>
    <t>MORE Power</t>
  </si>
  <si>
    <t xml:space="preserve"> MISAMIS ORIENTAL I ELECTRIC COOPERATIVE, INC. (MORESCO I) </t>
  </si>
  <si>
    <t>MORESCO I</t>
  </si>
  <si>
    <t xml:space="preserve"> MISAMIS ORIENTAL II ELECTRIC COOPERATIVE, INC. (MORESCO II) </t>
  </si>
  <si>
    <t>MORESCO II</t>
  </si>
  <si>
    <t xml:space="preserve"> NUEVA ECIJA I ELECTRIC COOPERATIVE, INC. (NEECO I) </t>
  </si>
  <si>
    <t>NEECO I</t>
  </si>
  <si>
    <t xml:space="preserve"> NUEVA ECIJA II ELECTRIC COOPERATIVE, INC. (AREA 1) - (NEECO II) </t>
  </si>
  <si>
    <t>NEECO II - AREA I</t>
  </si>
  <si>
    <t xml:space="preserve"> NUEVA ECIJA II ELECTRIC COOPERATIVE, INC. (AREA II) - (NEECO II) </t>
  </si>
  <si>
    <t>NEECO II - AREA II</t>
  </si>
  <si>
    <t xml:space="preserve"> NEGROS OCCIDENTAL ELECTRIC COOPERATIVE, INC. (NOCECO) </t>
  </si>
  <si>
    <t>NOCECO</t>
  </si>
  <si>
    <t xml:space="preserve"> VMC ELECTRIC COOPERATIVE, INC. - NORTHERN NEGROS ELECTRIC COOPERATIVE - VRESCO (NONECO) </t>
  </si>
  <si>
    <t>NONECO</t>
  </si>
  <si>
    <t xml:space="preserve"> NEGROS ORIENTAL I ELECTRIC COOPERATIVE, INC. (NORECO I) </t>
  </si>
  <si>
    <t>NORECO I</t>
  </si>
  <si>
    <t xml:space="preserve"> NEGROS ORIENTAL II ELECTRIC COOPERATIVE, INC. (NORECO II) </t>
  </si>
  <si>
    <t>NORECO II</t>
  </si>
  <si>
    <t>9..5285</t>
  </si>
  <si>
    <t xml:space="preserve"> NORTHERN SAMAR ELECTRIC COOPERATIVE, INC. (NORSAMELCO) </t>
  </si>
  <si>
    <t>NORSAMELCO</t>
  </si>
  <si>
    <t xml:space="preserve"> NUEVA VIZCAYA ELECTRIC COOPERATIVE, INC. (NUVELCO) </t>
  </si>
  <si>
    <t>NUVELCO</t>
  </si>
  <si>
    <t xml:space="preserve"> OLONGAPO ELECTRICITY DISTRIBUTION CO. INC. (OEDC) </t>
  </si>
  <si>
    <t>OEDC</t>
  </si>
  <si>
    <t xml:space="preserve"> OCCIDENTAL MINDORO ELECTRIC COOPERATIVE, INC. (OMECO) </t>
  </si>
  <si>
    <t>OMECO</t>
  </si>
  <si>
    <t xml:space="preserve"> ORIENTAL MINDORO ELECTRIC COOPERATIVE, INC (ORMECO) </t>
  </si>
  <si>
    <t>ORMECO</t>
  </si>
  <si>
    <t xml:space="preserve"> PALAWAN ELECTRIC COOPERATIVE, INC. (PALECO) </t>
  </si>
  <si>
    <t>PALECO</t>
  </si>
  <si>
    <t xml:space="preserve"> PANTABANGAN MUNICIPAL ELECTRIC SERVICES (PAMES) </t>
  </si>
  <si>
    <t>PAMES</t>
  </si>
  <si>
    <t xml:space="preserve"> PANGASINAN I ELECTRIC COOPERATIVE, INC. (PANELCO I) </t>
  </si>
  <si>
    <t>PANELCO I</t>
  </si>
  <si>
    <t xml:space="preserve"> PANGASINAN III ELECTRIC COOPERATIVE, INC. (PANELCO III) </t>
  </si>
  <si>
    <t>PANELCO III</t>
  </si>
  <si>
    <t xml:space="preserve"> PAMPANGA I ELECTRIC COOPERATIVE, INC. (PELCO I) </t>
  </si>
  <si>
    <t>PELCO I</t>
  </si>
  <si>
    <t xml:space="preserve"> PAMPANGA II ELECTRIC COOPERATIVE, INC. (PELCO II) </t>
  </si>
  <si>
    <t>PELCO II</t>
  </si>
  <si>
    <t xml:space="preserve"> PAMPANGA III ELECTRIC COOPERATIVE, INC. (PELCO III) </t>
  </si>
  <si>
    <t>PELCO III</t>
  </si>
  <si>
    <t xml:space="preserve"> PENINSULA ELECTRIC COOPERATIVE, INC. (PENELCO) </t>
  </si>
  <si>
    <t>PENELCO</t>
  </si>
  <si>
    <t xml:space="preserve"> COTABATO ELECTRIC COOPERATIVE, INC. - PPALMA (COTELCO - PPALMA) </t>
  </si>
  <si>
    <t>P-PALMA</t>
  </si>
  <si>
    <t xml:space="preserve"> PAMPANGA RURAL ELECTRIC COOPERATIVE, INC. (PRESCO) </t>
  </si>
  <si>
    <t>PRESCO</t>
  </si>
  <si>
    <t xml:space="preserve"> PROVINCE OF SIQUIJOR ELECTRIC COOPERATIVE, INC. (PROSIELCO) </t>
  </si>
  <si>
    <t>PROSIELCO</t>
  </si>
  <si>
    <t xml:space="preserve"> QUEZON I ELECTRIC COOPERATIVE, INC. (QUEZELCO I) </t>
  </si>
  <si>
    <t>QUEZELCO I</t>
  </si>
  <si>
    <t xml:space="preserve"> QUEZON II ELECTRIC COOPERATIVE, INC. (QUEZELCO II) </t>
  </si>
  <si>
    <t>QUEZELCO II</t>
  </si>
  <si>
    <t xml:space="preserve"> QUIRINO ELECTRIC COOPERATIVE, INC. (QUIRELCO) </t>
  </si>
  <si>
    <t>QUIRELCO</t>
  </si>
  <si>
    <t xml:space="preserve"> ROMBLON ELECTRIC COOPERATIVE, INC. (ROMELCO) </t>
  </si>
  <si>
    <t>ROMELCO</t>
  </si>
  <si>
    <t xml:space="preserve"> SAN JOSE CITY ELECTRIC COOPERATIVE, INC. (SAJELCO) </t>
  </si>
  <si>
    <t>SAJELCO</t>
  </si>
  <si>
    <t xml:space="preserve"> SAMAR I ELECTRIC COOPERATIVE, INC. (SAMELCO I) </t>
  </si>
  <si>
    <t>SAMELCO I</t>
  </si>
  <si>
    <t xml:space="preserve"> SAMAR II ELECTRIC COOPERATIVE, INC. (SAMELCO II) </t>
  </si>
  <si>
    <t>SAMELCO II</t>
  </si>
  <si>
    <t>Subic Enerzone Corporation</t>
  </si>
  <si>
    <t>SEZ</t>
  </si>
  <si>
    <t xml:space="preserve"> SAN FERNANDO ELECTRIC LIGHT AND POWER COMPANY (SFELAPCO) </t>
  </si>
  <si>
    <t>SFELAPCO</t>
  </si>
  <si>
    <t xml:space="preserve"> SIARGAO ISLAND ELECTRIC COOPERATIVE, INC. (SIARELCO) </t>
  </si>
  <si>
    <t>SIARELCO</t>
  </si>
  <si>
    <t xml:space="preserve"> SIASI ELECTRIC COOPERATIVE, INC. (SIASELCO) </t>
  </si>
  <si>
    <t>SIASELCO</t>
  </si>
  <si>
    <t xml:space="preserve"> SOUTH COTABATO I ELECTRIC COOPERATIVE, INC. (SOCOTECO I) </t>
  </si>
  <si>
    <t>SOCOTECO I</t>
  </si>
  <si>
    <t xml:space="preserve"> SOUTH COTABATO II ELECTRIC COOPERATIVE, INC. (SOCOTECO II) </t>
  </si>
  <si>
    <t>SOCOTECO II</t>
  </si>
  <si>
    <t xml:space="preserve"> SOUTHERN LEYTE ELECTRIC COOPERATIVE, INC. (SOLECO) </t>
  </si>
  <si>
    <t>SOLECO</t>
  </si>
  <si>
    <t xml:space="preserve"> SORSOGON I ELECTRIC COOPERATIVE, INC. (SORECO I) </t>
  </si>
  <si>
    <t>SORECO I</t>
  </si>
  <si>
    <t xml:space="preserve"> SORSOGON II ELECTRIC COOPERATIVE, INC. (SORECO II) </t>
  </si>
  <si>
    <t>SORECO II</t>
  </si>
  <si>
    <t xml:space="preserve"> SULTAN KUDARAT ELECTRIC COOPERATIVE, INC. (SUKELCO) </t>
  </si>
  <si>
    <t>SUKELCO</t>
  </si>
  <si>
    <t xml:space="preserve"> SULU ELECTRIC COOPERATIVE, INC. (SULECO) </t>
  </si>
  <si>
    <t>SULECO</t>
  </si>
  <si>
    <t xml:space="preserve"> SURIGAO DEL NORTE ELECTRIC COOPERATIVE, INC. (SURNECO) </t>
  </si>
  <si>
    <t>SURNECO</t>
  </si>
  <si>
    <t xml:space="preserve"> SURIGAO DEL SUR I ELECTRIC COOPERATIVE, INC. (SURSECO I) </t>
  </si>
  <si>
    <t>SURSECO I</t>
  </si>
  <si>
    <t xml:space="preserve"> SURIGAO DEL SUR II ELECTRIC COOPERATIVE, INC. (SURSECO II) </t>
  </si>
  <si>
    <t>SURSECO II</t>
  </si>
  <si>
    <t xml:space="preserve"> TARLAC I ELECTRIC COOPERATIVE, INC. (TARELCO I) </t>
  </si>
  <si>
    <t>TARELCO I</t>
  </si>
  <si>
    <t xml:space="preserve"> TARLAC II ELECTRIC COOPERATIVE, INC. (TARELCO II) </t>
  </si>
  <si>
    <t>TARELCO II</t>
  </si>
  <si>
    <t xml:space="preserve"> TAWI-TAWI ELECTRIC COOPERATIVE, INC. (TAWELCO) </t>
  </si>
  <si>
    <t>TAWELCO</t>
  </si>
  <si>
    <t xml:space="preserve"> TARLAC ELECTRIC INC. (TEI) </t>
  </si>
  <si>
    <t>TEI</t>
  </si>
  <si>
    <t xml:space="preserve"> TABLAS ISLAND ELECTRIC COOPERATIVE, INC. (TIELCO) </t>
  </si>
  <si>
    <t>TIELCO</t>
  </si>
  <si>
    <t xml:space="preserve"> TICAO ISLAND ELECTRIC COOPERATIVE, INC. (TISELCO) </t>
  </si>
  <si>
    <t>TISELCO</t>
  </si>
  <si>
    <t xml:space="preserve"> VISAYAN ELECTRIC COMPANY, INC. (VECO) </t>
  </si>
  <si>
    <t>VECO</t>
  </si>
  <si>
    <t xml:space="preserve"> ZAMBOANGA CITY ELECTRIC COOPERATIVE, INC. (ZAMCELCO)  </t>
  </si>
  <si>
    <t>ZAMCELCO</t>
  </si>
  <si>
    <t>Region 9</t>
  </si>
  <si>
    <t xml:space="preserve"> ZAMBALES I ELECTRIC COOPERATIVE, INC. (ZAMECO I) </t>
  </si>
  <si>
    <t>ZAMECO I</t>
  </si>
  <si>
    <t xml:space="preserve"> ZAMBALES II ELECTRIC COOPERATIVE, INC. (ZAMECO II) </t>
  </si>
  <si>
    <t>ZAMECO II</t>
  </si>
  <si>
    <t xml:space="preserve"> ZAMBOANGA DEL SUR I ELECTRIC COOPERATIVE, INC. (ZAMSURECO I) </t>
  </si>
  <si>
    <t>ZAMSURECO I</t>
  </si>
  <si>
    <t xml:space="preserve">ZAMBOANGA DEL SUR II ELECTRIC COOPERATIVE, INC. (ZAMSURECO II) </t>
  </si>
  <si>
    <t>ZAMSURECO II</t>
  </si>
  <si>
    <t xml:space="preserve">ZAMBOANGA DEL NORTE ELECTRIC COOPERATIVE, INC. (ZANECO) </t>
  </si>
  <si>
    <t>ZANECO</t>
  </si>
  <si>
    <t>Customer Sales as of 2020</t>
  </si>
  <si>
    <t>PHILIPPINES</t>
  </si>
  <si>
    <t>JANUARY</t>
  </si>
  <si>
    <t>FEBRUARY</t>
  </si>
  <si>
    <t>MARCH</t>
  </si>
  <si>
    <t>APRIL</t>
  </si>
  <si>
    <t>MAY</t>
  </si>
  <si>
    <t>JUNE</t>
  </si>
  <si>
    <t>JULY</t>
  </si>
  <si>
    <t>AUGUST</t>
  </si>
  <si>
    <t>SEPTEMBER</t>
  </si>
  <si>
    <t>OCTOBER</t>
  </si>
  <si>
    <t>NOVEMBER</t>
  </si>
  <si>
    <t>DECEMBER</t>
  </si>
  <si>
    <t>TOTAL SALES</t>
  </si>
  <si>
    <t>Residential</t>
  </si>
  <si>
    <t>Commercial</t>
  </si>
  <si>
    <t>Industrial</t>
  </si>
  <si>
    <t>Others</t>
  </si>
  <si>
    <t>Total per Month</t>
  </si>
  <si>
    <t>Number of Customer as of 2020</t>
  </si>
  <si>
    <t>Customer Count</t>
  </si>
  <si>
    <t>Customer Sales as of 2021</t>
  </si>
  <si>
    <t>Number of Customer as of 2021</t>
  </si>
  <si>
    <t>Customer Sales as of 2022</t>
  </si>
  <si>
    <t>Number of Customer as of 2022</t>
  </si>
  <si>
    <t>Customer Sales as of 2023</t>
  </si>
  <si>
    <t>Number of Customer as of 2023</t>
  </si>
  <si>
    <t>Customer Sales as of 2024</t>
  </si>
  <si>
    <t>Number of Customer as of 2024</t>
  </si>
  <si>
    <t>Customer Sales as of 2025</t>
  </si>
  <si>
    <t>Number of Customer as of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</si>
</sst>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409]mmm\-yy;@"/>
    <numFmt numFmtId="166" formatCode="[$-409]d\-mmm\-yy;@"/>
    <numFmt numFmtId="167" formatCode="0.0000"/>
  </numFmts>
  <fonts count="31">
    <font>
      <sz val="11"/>
      <color theme="1"/>
      <name val="Aptos Narrow"/>
      <family val="2"/>
      <scheme val="minor"/>
    </font>
    <font>
      <sz val="12"/>
      <color theme="1"/>
      <name val="Arial"/>
      <family val="2"/>
    </font>
    <font>
      <sz val="12"/>
      <color rgb="FF000000"/>
      <name val="Arial"/>
      <family val="2"/>
    </font>
    <font>
      <b/>
      <sz val="20"/>
      <color rgb="FF000000"/>
      <name val="Arial"/>
      <family val="2"/>
    </font>
    <font>
      <sz val="20"/>
      <color rgb="FF000000"/>
      <name val="Arial"/>
      <family val="2"/>
    </font>
    <font>
      <b/>
      <sz val="12"/>
      <color rgb="FF000000"/>
      <name val="Arial"/>
      <family val="2"/>
    </font>
    <font>
      <sz val="12"/>
      <name val="Arial"/>
      <family val="2"/>
    </font>
    <font>
      <sz val="12"/>
      <color rgb="FF00B050"/>
      <name val="Arial"/>
      <family val="2"/>
    </font>
    <font>
      <sz val="12"/>
      <color rgb="FFFF0000"/>
      <name val="Arial"/>
      <family val="2"/>
    </font>
    <font>
      <sz val="12"/>
      <color theme="9"/>
      <name val="Arial"/>
      <family val="2"/>
    </font>
    <font>
      <sz val="12"/>
      <color rgb="FF7030A0"/>
      <name val="Arial"/>
      <family val="2"/>
    </font>
    <font>
      <sz val="12"/>
      <color rgb="FFFFC000"/>
      <name val="Arial"/>
      <family val="2"/>
    </font>
    <font>
      <sz val="12"/>
      <color theme="1" tint="0.34998626667073579"/>
      <name val="Arial"/>
      <family val="2"/>
    </font>
    <font>
      <sz val="12"/>
      <color rgb="FFFF5050"/>
      <name val="Arial"/>
      <family val="2"/>
    </font>
    <font>
      <b/>
      <sz val="12"/>
      <name val="Arial"/>
      <family val="2"/>
    </font>
    <font>
      <sz val="12"/>
      <name val="Candara"/>
      <family val="2"/>
    </font>
    <font>
      <sz val="11"/>
      <name val="Aptos Narrow"/>
      <family val="2"/>
      <scheme val="minor"/>
    </font>
    <font>
      <b/>
      <sz val="9"/>
      <color indexed="81"/>
      <name val="Tahoma"/>
      <family val="2"/>
    </font>
    <font>
      <sz val="9"/>
      <color indexed="81"/>
      <name val="Tahoma"/>
      <family val="2"/>
    </font>
    <font>
      <b/>
      <sz val="11"/>
      <color rgb="FFFFFF00"/>
      <name val="Ap"/>
    </font>
    <font>
      <b/>
      <sz val="11"/>
      <color rgb="FFFFFF00"/>
      <name val="Aptos"/>
      <family val="2"/>
    </font>
    <font>
      <sz val="11"/>
      <color rgb="FF000000"/>
      <name val="Ap"/>
    </font>
    <font>
      <sz val="11"/>
      <color rgb="FF000000"/>
      <name val="Aptos"/>
      <family val="2"/>
    </font>
    <font>
      <b/>
      <sz val="11"/>
      <color rgb="FF000000"/>
      <name val="Aptos"/>
      <family val="2"/>
    </font>
    <font>
      <sz val="11"/>
      <color rgb="FF000000"/>
      <name val="Aptos Narrow"/>
      <family val="2"/>
    </font>
    <font>
      <b/>
      <sz val="11"/>
      <color rgb="FFFFFF00"/>
      <name val="Aptos Narrow"/>
      <family val="2"/>
      <scheme val="minor"/>
    </font>
    <font>
      <i/>
      <sz val="10"/>
      <name val="Arial"/>
      <family val="2"/>
    </font>
    <font>
      <b/>
      <sz val="10"/>
      <name val="Arial"/>
      <family val="2"/>
    </font>
    <font>
      <sz val="10"/>
      <name val="Arial"/>
      <family val="2"/>
    </font>
    <font>
      <b/>
      <sz val="11"/>
      <name val="Arial"/>
      <family val="2"/>
    </font>
    <font>
      <b/>
      <i/>
      <sz val="10"/>
      <name val="Arial"/>
      <family val="2"/>
    </font>
  </fonts>
  <fills count="5">
    <fill>
      <patternFill patternType="none"/>
    </fill>
    <fill>
      <patternFill patternType="gray125"/>
    </fill>
    <fill>
      <patternFill patternType="solid">
        <fgColor rgb="FFD9E1F2"/>
        <bgColor rgb="FF000000"/>
      </patternFill>
    </fill>
    <fill>
      <patternFill patternType="solid">
        <fgColor rgb="FF00B050"/>
        <bgColor indexed="64"/>
      </patternFill>
    </fill>
    <fill>
      <patternFill patternType="solid">
        <fgColor rgb="FF0070C0"/>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hair">
        <color indexed="64"/>
      </left>
      <right/>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5">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xf numFmtId="2" fontId="1" fillId="0" borderId="0" xfId="0" applyNumberFormat="1" applyFont="1"/>
    <xf numFmtId="0" fontId="3" fillId="2" borderId="1" xfId="0" applyFont="1" applyFill="1" applyBorder="1" applyAlignment="1">
      <alignment horizontal="centerContinuous"/>
    </xf>
    <xf numFmtId="0" fontId="3" fillId="2" borderId="2" xfId="0" applyFont="1" applyFill="1" applyBorder="1" applyAlignment="1">
      <alignment horizontal="centerContinuous"/>
    </xf>
    <xf numFmtId="0" fontId="3" fillId="2" borderId="3" xfId="0" applyFont="1" applyFill="1" applyBorder="1" applyAlignment="1">
      <alignment horizontal="centerContinuous"/>
    </xf>
    <xf numFmtId="0" fontId="4" fillId="2" borderId="4" xfId="0" applyFont="1" applyFill="1" applyBorder="1" applyAlignment="1">
      <alignment horizontal="centerContinuous"/>
    </xf>
    <xf numFmtId="0" fontId="3" fillId="2" borderId="8" xfId="0" applyFont="1" applyFill="1" applyBorder="1" applyAlignment="1">
      <alignment horizontal="centerContinuous" vertical="center"/>
    </xf>
    <xf numFmtId="0" fontId="3" fillId="2" borderId="9" xfId="0" applyFont="1" applyFill="1" applyBorder="1" applyAlignment="1">
      <alignment horizontal="centerContinuous" vertical="center"/>
    </xf>
    <xf numFmtId="0" fontId="3" fillId="2" borderId="10" xfId="0" applyFont="1" applyFill="1" applyBorder="1" applyAlignment="1">
      <alignment horizontal="centerContinuous" vertical="center"/>
    </xf>
    <xf numFmtId="0" fontId="3" fillId="2" borderId="11" xfId="0" applyFont="1" applyFill="1" applyBorder="1" applyAlignment="1">
      <alignment horizontal="centerContinuous" vertical="center"/>
    </xf>
    <xf numFmtId="0" fontId="3" fillId="2" borderId="12" xfId="0" applyFont="1" applyFill="1" applyBorder="1" applyAlignment="1">
      <alignment horizontal="centerContinuous" vertical="center"/>
    </xf>
    <xf numFmtId="0" fontId="3" fillId="2" borderId="13" xfId="0" applyFont="1" applyFill="1" applyBorder="1" applyAlignment="1">
      <alignment horizontal="centerContinuous" vertical="center"/>
    </xf>
    <xf numFmtId="0" fontId="3" fillId="2" borderId="1" xfId="0" applyFont="1" applyFill="1" applyBorder="1" applyAlignment="1">
      <alignment horizontal="centerContinuous" vertical="center"/>
    </xf>
    <xf numFmtId="0" fontId="3" fillId="2" borderId="2" xfId="0" applyFont="1" applyFill="1" applyBorder="1" applyAlignment="1">
      <alignment horizontal="centerContinuous" vertical="center"/>
    </xf>
    <xf numFmtId="0" fontId="3" fillId="2" borderId="14" xfId="0" applyFont="1" applyFill="1" applyBorder="1" applyAlignment="1">
      <alignment horizontal="centerContinuous" vertical="center"/>
    </xf>
    <xf numFmtId="0" fontId="5"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165" fontId="5" fillId="2" borderId="18" xfId="0" applyNumberFormat="1" applyFont="1" applyFill="1" applyBorder="1" applyAlignment="1">
      <alignment horizontal="center" vertical="center" wrapText="1"/>
    </xf>
    <xf numFmtId="165" fontId="5" fillId="2" borderId="19" xfId="0" applyNumberFormat="1" applyFont="1" applyFill="1" applyBorder="1" applyAlignment="1">
      <alignment horizontal="center" vertical="center" wrapText="1"/>
    </xf>
    <xf numFmtId="165" fontId="5" fillId="2" borderId="20" xfId="0" applyNumberFormat="1" applyFont="1" applyFill="1" applyBorder="1" applyAlignment="1">
      <alignment horizontal="center" vertical="center" wrapText="1"/>
    </xf>
    <xf numFmtId="166" fontId="5" fillId="2" borderId="19" xfId="0" applyNumberFormat="1" applyFont="1" applyFill="1" applyBorder="1" applyAlignment="1">
      <alignment horizontal="center" vertical="center" wrapText="1"/>
    </xf>
    <xf numFmtId="165" fontId="5" fillId="2" borderId="21" xfId="0" applyNumberFormat="1" applyFont="1" applyFill="1" applyBorder="1" applyAlignment="1">
      <alignment horizontal="center" vertical="center" wrapText="1"/>
    </xf>
    <xf numFmtId="165" fontId="5" fillId="2" borderId="5" xfId="0" applyNumberFormat="1" applyFont="1" applyFill="1" applyBorder="1" applyAlignment="1">
      <alignment horizontal="center" vertical="center" wrapText="1"/>
    </xf>
    <xf numFmtId="165" fontId="5" fillId="2" borderId="6" xfId="0" applyNumberFormat="1" applyFont="1" applyFill="1" applyBorder="1" applyAlignment="1">
      <alignment horizontal="center" vertical="center" wrapText="1"/>
    </xf>
    <xf numFmtId="165" fontId="5" fillId="2" borderId="7" xfId="0" applyNumberFormat="1" applyFont="1" applyFill="1" applyBorder="1" applyAlignment="1">
      <alignment horizontal="center" vertical="center" wrapText="1"/>
    </xf>
    <xf numFmtId="165" fontId="5" fillId="2" borderId="0" xfId="0" applyNumberFormat="1" applyFont="1" applyFill="1" applyAlignment="1">
      <alignment horizontal="center" vertical="center" wrapText="1"/>
    </xf>
    <xf numFmtId="0" fontId="6" fillId="0" borderId="22" xfId="0" applyFont="1" applyBorder="1" applyAlignment="1">
      <alignment horizontal="left" vertical="center"/>
    </xf>
    <xf numFmtId="0" fontId="6" fillId="0" borderId="23" xfId="0" applyFont="1" applyBorder="1" applyAlignment="1">
      <alignment horizontal="left" vertical="center" wrapText="1"/>
    </xf>
    <xf numFmtId="0" fontId="6" fillId="0" borderId="23" xfId="0" applyFont="1" applyBorder="1" applyAlignment="1">
      <alignment horizontal="left" vertical="center"/>
    </xf>
    <xf numFmtId="0" fontId="6" fillId="0" borderId="24" xfId="0" applyFont="1" applyBorder="1" applyAlignment="1">
      <alignment horizontal="left" vertical="center"/>
    </xf>
    <xf numFmtId="2" fontId="6" fillId="0" borderId="25" xfId="0" applyNumberFormat="1" applyFont="1" applyBorder="1"/>
    <xf numFmtId="2" fontId="6" fillId="0" borderId="26" xfId="0" applyNumberFormat="1" applyFont="1" applyBorder="1"/>
    <xf numFmtId="2" fontId="6" fillId="0" borderId="27" xfId="0" applyNumberFormat="1" applyFont="1" applyBorder="1"/>
    <xf numFmtId="2" fontId="6" fillId="0" borderId="28" xfId="0" applyNumberFormat="1" applyFont="1" applyBorder="1"/>
    <xf numFmtId="0" fontId="6" fillId="0" borderId="29" xfId="0" applyFont="1" applyBorder="1" applyAlignment="1">
      <alignment horizontal="left" vertical="center"/>
    </xf>
    <xf numFmtId="0" fontId="6" fillId="0" borderId="30" xfId="0" applyFont="1" applyBorder="1" applyAlignment="1">
      <alignment horizontal="left" vertical="center" wrapText="1"/>
    </xf>
    <xf numFmtId="0" fontId="6" fillId="0" borderId="30" xfId="0" applyFont="1" applyBorder="1" applyAlignment="1">
      <alignment horizontal="left" vertical="center"/>
    </xf>
    <xf numFmtId="0" fontId="6" fillId="0" borderId="31" xfId="0" applyFont="1" applyBorder="1" applyAlignment="1">
      <alignment horizontal="left" vertical="center"/>
    </xf>
    <xf numFmtId="2" fontId="7" fillId="0" borderId="25" xfId="0" applyNumberFormat="1" applyFont="1" applyBorder="1"/>
    <xf numFmtId="2" fontId="7" fillId="0" borderId="26" xfId="0" applyNumberFormat="1" applyFont="1" applyBorder="1"/>
    <xf numFmtId="2" fontId="8" fillId="0" borderId="26" xfId="0" applyNumberFormat="1" applyFont="1" applyBorder="1"/>
    <xf numFmtId="2" fontId="7" fillId="0" borderId="28" xfId="0" applyNumberFormat="1" applyFont="1" applyBorder="1"/>
    <xf numFmtId="2" fontId="6" fillId="0" borderId="26" xfId="0" applyNumberFormat="1" applyFont="1" applyBorder="1" applyAlignment="1">
      <alignment horizontal="right"/>
    </xf>
    <xf numFmtId="2" fontId="8" fillId="0" borderId="25" xfId="0" applyNumberFormat="1" applyFont="1" applyBorder="1"/>
    <xf numFmtId="2" fontId="9" fillId="0" borderId="26" xfId="0" applyNumberFormat="1" applyFont="1" applyBorder="1"/>
    <xf numFmtId="2" fontId="8" fillId="0" borderId="28" xfId="0" applyNumberFormat="1" applyFont="1" applyBorder="1"/>
    <xf numFmtId="2" fontId="10" fillId="0" borderId="26" xfId="0" applyNumberFormat="1" applyFont="1" applyBorder="1"/>
    <xf numFmtId="2" fontId="10" fillId="0" borderId="25" xfId="0" applyNumberFormat="1" applyFont="1" applyBorder="1"/>
    <xf numFmtId="2" fontId="8" fillId="0" borderId="32" xfId="0" applyNumberFormat="1" applyFont="1" applyBorder="1"/>
    <xf numFmtId="2" fontId="6" fillId="0" borderId="33" xfId="0" applyNumberFormat="1" applyFont="1" applyBorder="1"/>
    <xf numFmtId="2" fontId="10" fillId="0" borderId="28" xfId="0" applyNumberFormat="1" applyFont="1" applyBorder="1"/>
    <xf numFmtId="2" fontId="11" fillId="0" borderId="28" xfId="0" applyNumberFormat="1" applyFont="1" applyBorder="1"/>
    <xf numFmtId="2" fontId="11" fillId="0" borderId="26" xfId="0" applyNumberFormat="1" applyFont="1" applyBorder="1"/>
    <xf numFmtId="167" fontId="6" fillId="0" borderId="30" xfId="0" applyNumberFormat="1" applyFont="1" applyBorder="1" applyAlignment="1">
      <alignment horizontal="left" vertical="center" wrapText="1"/>
    </xf>
    <xf numFmtId="167" fontId="6" fillId="0" borderId="30" xfId="0" applyNumberFormat="1" applyFont="1" applyBorder="1" applyAlignment="1">
      <alignment horizontal="left" vertical="center"/>
    </xf>
    <xf numFmtId="167" fontId="6" fillId="0" borderId="31" xfId="0" applyNumberFormat="1" applyFont="1" applyBorder="1" applyAlignment="1">
      <alignment horizontal="left" vertical="center"/>
    </xf>
    <xf numFmtId="2" fontId="6" fillId="0" borderId="25" xfId="0" applyNumberFormat="1" applyFont="1" applyBorder="1" applyAlignment="1">
      <alignment horizontal="right"/>
    </xf>
    <xf numFmtId="2" fontId="6" fillId="0" borderId="27" xfId="0" applyNumberFormat="1" applyFont="1" applyBorder="1" applyAlignment="1">
      <alignment horizontal="right"/>
    </xf>
    <xf numFmtId="2" fontId="12" fillId="0" borderId="25" xfId="0" applyNumberFormat="1" applyFont="1" applyBorder="1"/>
    <xf numFmtId="2" fontId="10" fillId="0" borderId="26" xfId="0" applyNumberFormat="1" applyFont="1" applyBorder="1" applyAlignment="1">
      <alignment wrapText="1"/>
    </xf>
    <xf numFmtId="2" fontId="10" fillId="0" borderId="34" xfId="0" applyNumberFormat="1" applyFont="1" applyBorder="1"/>
    <xf numFmtId="2" fontId="11" fillId="0" borderId="33" xfId="0" applyNumberFormat="1" applyFont="1" applyBorder="1"/>
    <xf numFmtId="2" fontId="6" fillId="0" borderId="34" xfId="0" applyNumberFormat="1" applyFont="1" applyBorder="1"/>
    <xf numFmtId="0" fontId="1" fillId="3" borderId="0" xfId="0" applyFont="1" applyFill="1"/>
    <xf numFmtId="2" fontId="7" fillId="0" borderId="32" xfId="0" applyNumberFormat="1" applyFont="1" applyBorder="1"/>
    <xf numFmtId="2" fontId="6" fillId="0" borderId="32" xfId="0" applyNumberFormat="1" applyFont="1" applyBorder="1"/>
    <xf numFmtId="2" fontId="8" fillId="0" borderId="33" xfId="0" applyNumberFormat="1" applyFont="1" applyBorder="1"/>
    <xf numFmtId="2" fontId="8" fillId="0" borderId="26" xfId="0" applyNumberFormat="1" applyFont="1" applyBorder="1" applyAlignment="1">
      <alignment horizontal="right"/>
    </xf>
    <xf numFmtId="2" fontId="10" fillId="0" borderId="26" xfId="0" applyNumberFormat="1" applyFont="1" applyBorder="1" applyAlignment="1">
      <alignment horizontal="right"/>
    </xf>
    <xf numFmtId="2" fontId="9" fillId="0" borderId="33" xfId="0" applyNumberFormat="1" applyFont="1" applyBorder="1"/>
    <xf numFmtId="2" fontId="13" fillId="0" borderId="26" xfId="0" applyNumberFormat="1" applyFont="1" applyBorder="1"/>
    <xf numFmtId="2" fontId="6" fillId="0" borderId="28" xfId="0" applyNumberFormat="1" applyFont="1" applyBorder="1" applyAlignment="1">
      <alignment horizontal="right"/>
    </xf>
    <xf numFmtId="2" fontId="7" fillId="0" borderId="25" xfId="0" applyNumberFormat="1" applyFont="1" applyBorder="1" applyAlignment="1">
      <alignment horizontal="right"/>
    </xf>
    <xf numFmtId="2" fontId="7" fillId="0" borderId="26" xfId="0" applyNumberFormat="1" applyFont="1" applyBorder="1" applyAlignment="1">
      <alignment horizontal="right"/>
    </xf>
    <xf numFmtId="2" fontId="7" fillId="0" borderId="28" xfId="0" applyNumberFormat="1" applyFont="1" applyBorder="1" applyAlignment="1">
      <alignment horizontal="right"/>
    </xf>
    <xf numFmtId="2" fontId="8" fillId="0" borderId="34" xfId="0" applyNumberFormat="1" applyFont="1" applyBorder="1"/>
    <xf numFmtId="2" fontId="9" fillId="0" borderId="32" xfId="0" applyNumberFormat="1" applyFont="1" applyBorder="1"/>
    <xf numFmtId="0" fontId="14" fillId="0" borderId="30" xfId="0" applyFont="1" applyBorder="1" applyAlignment="1">
      <alignment horizontal="left" vertical="center" wrapText="1"/>
    </xf>
    <xf numFmtId="2" fontId="6" fillId="0" borderId="26" xfId="0" applyNumberFormat="1" applyFont="1" applyBorder="1" applyAlignment="1">
      <alignment wrapText="1"/>
    </xf>
    <xf numFmtId="2" fontId="7" fillId="0" borderId="34" xfId="0" applyNumberFormat="1" applyFont="1" applyBorder="1"/>
    <xf numFmtId="2" fontId="12" fillId="0" borderId="25" xfId="0" applyNumberFormat="1" applyFont="1" applyBorder="1" applyAlignment="1">
      <alignment horizontal="right"/>
    </xf>
    <xf numFmtId="2" fontId="8" fillId="0" borderId="28" xfId="0" applyNumberFormat="1" applyFont="1" applyBorder="1" applyAlignment="1">
      <alignment horizontal="right"/>
    </xf>
    <xf numFmtId="2" fontId="10" fillId="0" borderId="25" xfId="0" applyNumberFormat="1" applyFont="1" applyBorder="1" applyAlignment="1">
      <alignment horizontal="right"/>
    </xf>
    <xf numFmtId="2" fontId="9" fillId="0" borderId="26" xfId="0" applyNumberFormat="1" applyFont="1" applyBorder="1" applyAlignment="1">
      <alignment horizontal="right"/>
    </xf>
    <xf numFmtId="2" fontId="10" fillId="0" borderId="28" xfId="0" applyNumberFormat="1" applyFont="1" applyBorder="1" applyAlignment="1">
      <alignment horizontal="right"/>
    </xf>
    <xf numFmtId="167" fontId="1" fillId="3" borderId="0" xfId="0" applyNumberFormat="1" applyFont="1" applyFill="1"/>
    <xf numFmtId="2" fontId="10" fillId="0" borderId="33" xfId="0" applyNumberFormat="1" applyFont="1" applyBorder="1"/>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2" fontId="8" fillId="0" borderId="35" xfId="0" applyNumberFormat="1" applyFont="1" applyBorder="1"/>
    <xf numFmtId="2" fontId="9" fillId="0" borderId="36" xfId="0" applyNumberFormat="1" applyFont="1" applyBorder="1"/>
    <xf numFmtId="2" fontId="10" fillId="0" borderId="32" xfId="0" applyNumberFormat="1" applyFont="1" applyBorder="1"/>
    <xf numFmtId="2" fontId="10" fillId="0" borderId="37" xfId="0" applyNumberFormat="1" applyFont="1" applyBorder="1"/>
    <xf numFmtId="2" fontId="8" fillId="0" borderId="27" xfId="0" applyNumberFormat="1" applyFont="1" applyBorder="1"/>
    <xf numFmtId="2" fontId="10" fillId="0" borderId="27" xfId="0" applyNumberFormat="1" applyFont="1" applyBorder="1"/>
    <xf numFmtId="2" fontId="10" fillId="0" borderId="38" xfId="0" applyNumberFormat="1" applyFont="1" applyBorder="1"/>
    <xf numFmtId="2" fontId="10" fillId="0" borderId="39" xfId="0" applyNumberFormat="1" applyFont="1" applyBorder="1"/>
    <xf numFmtId="0" fontId="16" fillId="0" borderId="25" xfId="0" applyFont="1" applyBorder="1" applyAlignment="1">
      <alignment vertical="center" wrapText="1"/>
    </xf>
    <xf numFmtId="2" fontId="6" fillId="0" borderId="40" xfId="0" applyNumberFormat="1" applyFont="1" applyBorder="1"/>
    <xf numFmtId="2" fontId="6" fillId="0" borderId="35" xfId="0" applyNumberFormat="1" applyFont="1" applyBorder="1"/>
    <xf numFmtId="2" fontId="6" fillId="0" borderId="0" xfId="0" applyNumberFormat="1" applyFont="1"/>
    <xf numFmtId="2" fontId="6" fillId="0" borderId="41" xfId="0" applyNumberFormat="1" applyFont="1" applyBorder="1"/>
    <xf numFmtId="2" fontId="6" fillId="0" borderId="42" xfId="0" applyNumberFormat="1" applyFont="1" applyBorder="1"/>
    <xf numFmtId="2" fontId="6" fillId="0" borderId="43" xfId="0" applyNumberFormat="1" applyFont="1" applyBorder="1"/>
    <xf numFmtId="2" fontId="6" fillId="0" borderId="44" xfId="0" applyNumberFormat="1" applyFont="1" applyBorder="1"/>
    <xf numFmtId="2" fontId="9" fillId="0" borderId="40" xfId="0" applyNumberFormat="1" applyFont="1" applyBorder="1"/>
    <xf numFmtId="0" fontId="6" fillId="0" borderId="45" xfId="0" applyFont="1" applyBorder="1" applyAlignment="1">
      <alignment horizontal="left" vertical="center" wrapText="1"/>
    </xf>
    <xf numFmtId="0" fontId="6" fillId="0" borderId="45" xfId="0" applyFont="1" applyBorder="1" applyAlignment="1">
      <alignment horizontal="left" vertical="center"/>
    </xf>
    <xf numFmtId="0" fontId="6" fillId="0" borderId="46" xfId="0" applyFont="1" applyBorder="1" applyAlignment="1">
      <alignment horizontal="left" vertical="center"/>
    </xf>
    <xf numFmtId="2" fontId="6" fillId="0" borderId="47" xfId="0" applyNumberFormat="1" applyFont="1" applyBorder="1"/>
    <xf numFmtId="2" fontId="6" fillId="0" borderId="38" xfId="0" applyNumberFormat="1" applyFont="1" applyBorder="1"/>
    <xf numFmtId="2" fontId="6" fillId="0" borderId="48" xfId="0" applyNumberFormat="1" applyFont="1" applyBorder="1"/>
    <xf numFmtId="2" fontId="6" fillId="0" borderId="36" xfId="0" applyNumberFormat="1" applyFont="1" applyBorder="1"/>
    <xf numFmtId="2" fontId="6" fillId="0" borderId="37" xfId="0" applyNumberFormat="1" applyFont="1" applyBorder="1"/>
    <xf numFmtId="2" fontId="6" fillId="0" borderId="33" xfId="0" applyNumberFormat="1" applyFont="1" applyBorder="1" applyAlignment="1">
      <alignment horizontal="right"/>
    </xf>
    <xf numFmtId="2" fontId="9" fillId="0" borderId="25" xfId="0" applyNumberFormat="1" applyFont="1" applyBorder="1"/>
    <xf numFmtId="2" fontId="10" fillId="0" borderId="42" xfId="0" applyNumberFormat="1" applyFont="1" applyBorder="1"/>
    <xf numFmtId="2" fontId="8" fillId="0" borderId="42" xfId="0" applyNumberFormat="1" applyFont="1" applyBorder="1"/>
    <xf numFmtId="2" fontId="9" fillId="0" borderId="41" xfId="0" applyNumberFormat="1" applyFont="1" applyBorder="1"/>
    <xf numFmtId="4" fontId="0" fillId="0" borderId="0" xfId="0" applyNumberFormat="1"/>
    <xf numFmtId="0" fontId="24" fillId="0" borderId="49" xfId="0" applyFont="1" applyBorder="1"/>
    <xf numFmtId="0" fontId="25" fillId="4" borderId="49" xfId="0" applyFont="1" applyFill="1" applyBorder="1"/>
    <xf numFmtId="4" fontId="25" fillId="4" borderId="49" xfId="0" applyNumberFormat="1" applyFont="1" applyFill="1" applyBorder="1"/>
    <xf numFmtId="0" fontId="21" fillId="0" borderId="0" xfId="0" applyFont="1"/>
    <xf numFmtId="4" fontId="21" fillId="0" borderId="0" xfId="0" applyNumberFormat="1" applyFont="1"/>
    <xf numFmtId="0" fontId="19" fillId="0" borderId="0" xfId="0" applyFont="1"/>
    <xf numFmtId="0" fontId="20" fillId="0" borderId="0" xfId="0" applyFont="1" applyAlignment="1">
      <alignment wrapText="1"/>
    </xf>
    <xf numFmtId="0" fontId="20" fillId="0" borderId="0" xfId="0" applyFont="1"/>
    <xf numFmtId="4" fontId="22" fillId="0" borderId="0" xfId="0" applyNumberFormat="1" applyFont="1"/>
    <xf numFmtId="4" fontId="23" fillId="0" borderId="0" xfId="0" applyNumberFormat="1" applyFont="1"/>
    <xf numFmtId="0" fontId="23" fillId="0" borderId="0" xfId="0" applyFont="1"/>
    <xf numFmtId="4" fontId="19" fillId="0" borderId="0" xfId="0" applyNumberFormat="1" applyFont="1"/>
    <xf numFmtId="0" fontId="25" fillId="4" borderId="49" xfId="0" applyFont="1" applyFill="1" applyBorder="1" applyAlignment="1">
      <alignment horizontal="left"/>
    </xf>
    <xf numFmtId="164" fontId="24" fillId="0" borderId="49" xfId="0" applyNumberFormat="1" applyFont="1" applyBorder="1"/>
    <xf numFmtId="164" fontId="0" fillId="0" borderId="49" xfId="0" applyNumberFormat="1" applyBorder="1"/>
    <xf numFmtId="164" fontId="25" fillId="4" borderId="49" xfId="0" applyNumberFormat="1" applyFont="1" applyFill="1" applyBorder="1"/>
    <xf numFmtId="0" fontId="26" fillId="0" borderId="0" xfId="0" applyFont="1"/>
    <xf numFmtId="3" fontId="26" fillId="0" borderId="0" xfId="0" applyNumberFormat="1" applyFont="1"/>
    <xf numFmtId="0" fontId="27" fillId="0" borderId="0" xfId="0" applyFont="1"/>
    <xf numFmtId="3" fontId="27" fillId="0" borderId="0" xfId="0" applyNumberFormat="1" applyFont="1"/>
    <xf numFmtId="0" fontId="28" fillId="0" borderId="0" xfId="0" applyFont="1"/>
    <xf numFmtId="3" fontId="28" fillId="0" borderId="0" xfId="0" applyNumberFormat="1" applyFont="1"/>
    <xf numFmtId="0" fontId="29" fillId="0" borderId="0" xfId="0" applyFont="1"/>
    <xf numFmtId="3" fontId="29" fillId="0" borderId="0" xfId="0" applyNumberFormat="1" applyFont="1"/>
    <xf numFmtId="3" fontId="30" fillId="0" borderId="0" xfId="0" applyNumberFormat="1" applyFont="1"/>
    <xf numFmtId="0" fontId="19" fillId="0" borderId="0" xfId="0" applyFont="1"/>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cellXfs>
  <cellStyles count="1">
    <cellStyle name="Normal" xfId="0" builtinId="0"/>
  </cellStyles>
  <dxfs count="121">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medium">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thin">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indent="0" justifyLastLine="0" shrinkToFit="0" readingOrder="0"/>
      <border diagonalUp="0" diagonalDown="0" outline="0">
        <left/>
        <right/>
        <top style="hair">
          <color indexed="64"/>
        </top>
        <bottom style="hair">
          <color indexed="64"/>
        </bottom>
      </border>
    </dxf>
    <dxf>
      <border outline="0">
        <left style="hair">
          <color indexed="64"/>
        </left>
      </border>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s>
  <tableStyles count="0" defaultTableStyle="TableStyleMedium2" defaultPivotStyle="PivotStyleLight16"/>
  <colors>
    <mruColors>
      <color rgb="FFFF88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microsoft.com/office/2007/relationships/slicerCache" Target="slicerCaches/slicerCache1.xml"/><Relationship Id="rId7" Type="http://schemas.microsoft.com/office/2007/relationships/slicerCache" Target="slicerCaches/slicerCache5.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calcChain" Target="calcChain.xml"/><Relationship Id="rId5" Type="http://schemas.microsoft.com/office/2007/relationships/slicerCache" Target="slicerCaches/slicerCache3.xml"/><Relationship Id="rId10" Type="http://schemas.openxmlformats.org/officeDocument/2006/relationships/sharedStrings" Target="sharedStrings.xml"/><Relationship Id="rId4" Type="http://schemas.microsoft.com/office/2007/relationships/slicerCache" Target="slicerCaches/slicerCache2.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3</xdr:col>
      <xdr:colOff>835982</xdr:colOff>
      <xdr:row>6</xdr:row>
      <xdr:rowOff>186510</xdr:rowOff>
    </xdr:from>
    <xdr:to>
      <xdr:col>4</xdr:col>
      <xdr:colOff>1714198</xdr:colOff>
      <xdr:row>13</xdr:row>
      <xdr:rowOff>155309</xdr:rowOff>
    </xdr:to>
    <mc:AlternateContent xmlns:mc="http://schemas.openxmlformats.org/markup-compatibility/2006" xmlns:sle15="http://schemas.microsoft.com/office/drawing/2012/slicer">
      <mc:Choice Requires="sle15">
        <xdr:graphicFrame macro="">
          <xdr:nvGraphicFramePr>
            <xdr:cNvPr id="7" name="GRID 2">
              <a:extLst>
                <a:ext uri="{FF2B5EF4-FFF2-40B4-BE49-F238E27FC236}">
                  <a16:creationId xmlns:a16="http://schemas.microsoft.com/office/drawing/2014/main" id="{74EAB50C-C209-476A-A878-D0CB0F99707D}"/>
                </a:ext>
              </a:extLst>
            </xdr:cNvPr>
            <xdr:cNvGraphicFramePr/>
          </xdr:nvGraphicFramePr>
          <xdr:xfrm>
            <a:off x="0" y="0"/>
            <a:ext cx="0" cy="0"/>
          </xdr:xfrm>
          <a:graphic>
            <a:graphicData uri="http://schemas.microsoft.com/office/drawing/2010/slicer">
              <sle:slicer xmlns:sle="http://schemas.microsoft.com/office/drawing/2010/slicer" name="GRID 2"/>
            </a:graphicData>
          </a:graphic>
        </xdr:graphicFrame>
      </mc:Choice>
      <mc:Fallback xmlns="">
        <xdr:sp macro="" textlink="">
          <xdr:nvSpPr>
            <xdr:cNvPr id="0" name=""/>
            <xdr:cNvSpPr>
              <a:spLocks noTextEdit="1"/>
            </xdr:cNvSpPr>
          </xdr:nvSpPr>
          <xdr:spPr>
            <a:xfrm>
              <a:off x="6693857" y="1329510"/>
              <a:ext cx="2049791" cy="1311824"/>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3229136</xdr:colOff>
      <xdr:row>6</xdr:row>
      <xdr:rowOff>177962</xdr:rowOff>
    </xdr:from>
    <xdr:to>
      <xdr:col>3</xdr:col>
      <xdr:colOff>730250</xdr:colOff>
      <xdr:row>13</xdr:row>
      <xdr:rowOff>118186</xdr:rowOff>
    </xdr:to>
    <mc:AlternateContent xmlns:mc="http://schemas.openxmlformats.org/markup-compatibility/2006" xmlns:sle15="http://schemas.microsoft.com/office/drawing/2012/slicer">
      <mc:Choice Requires="sle15">
        <xdr:graphicFrame macro="">
          <xdr:nvGraphicFramePr>
            <xdr:cNvPr id="8" name="Region 2">
              <a:extLst>
                <a:ext uri="{FF2B5EF4-FFF2-40B4-BE49-F238E27FC236}">
                  <a16:creationId xmlns:a16="http://schemas.microsoft.com/office/drawing/2014/main" id="{D9C9B1E6-5B9E-4B32-B767-BD5F8AB646C6}"/>
                </a:ext>
                <a:ext uri="{147F2762-F138-4A5C-976F-8EAC2B608ADB}">
                  <a16:predDERef xmlns:a16="http://schemas.microsoft.com/office/drawing/2014/main" pred="{4A12F960-5470-6C27-06D9-9245EE1B8C1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895886" y="1320962"/>
              <a:ext cx="2692239" cy="1283249"/>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1247247</xdr:colOff>
      <xdr:row>7</xdr:row>
      <xdr:rowOff>26963</xdr:rowOff>
    </xdr:from>
    <xdr:to>
      <xdr:col>1</xdr:col>
      <xdr:colOff>3108235</xdr:colOff>
      <xdr:row>13</xdr:row>
      <xdr:rowOff>94228</xdr:rowOff>
    </xdr:to>
    <mc:AlternateContent xmlns:mc="http://schemas.openxmlformats.org/markup-compatibility/2006" xmlns:sle15="http://schemas.microsoft.com/office/drawing/2012/slicer">
      <mc:Choice Requires="sle15">
        <xdr:graphicFrame macro="">
          <xdr:nvGraphicFramePr>
            <xdr:cNvPr id="9" name="Island 4">
              <a:extLst>
                <a:ext uri="{FF2B5EF4-FFF2-40B4-BE49-F238E27FC236}">
                  <a16:creationId xmlns:a16="http://schemas.microsoft.com/office/drawing/2014/main" id="{47AA5302-F526-41BF-8DE7-691E80BF4CAD}"/>
                </a:ext>
                <a:ext uri="{147F2762-F138-4A5C-976F-8EAC2B608ADB}">
                  <a16:predDERef xmlns:a16="http://schemas.microsoft.com/office/drawing/2014/main" pred="{A35B2A69-99E1-810E-7B05-19EB4B3B1BC6}"/>
                </a:ext>
              </a:extLst>
            </xdr:cNvPr>
            <xdr:cNvGraphicFramePr/>
          </xdr:nvGraphicFramePr>
          <xdr:xfrm>
            <a:off x="0" y="0"/>
            <a:ext cx="0" cy="0"/>
          </xdr:xfrm>
          <a:graphic>
            <a:graphicData uri="http://schemas.microsoft.com/office/drawing/2010/slicer">
              <sle:slicer xmlns:sle="http://schemas.microsoft.com/office/drawing/2010/slicer" name="Island 4"/>
            </a:graphicData>
          </a:graphic>
        </xdr:graphicFrame>
      </mc:Choice>
      <mc:Fallback xmlns="">
        <xdr:sp macro="" textlink="">
          <xdr:nvSpPr>
            <xdr:cNvPr id="0" name=""/>
            <xdr:cNvSpPr>
              <a:spLocks noTextEdit="1"/>
            </xdr:cNvSpPr>
          </xdr:nvSpPr>
          <xdr:spPr>
            <a:xfrm>
              <a:off x="1913997" y="1369988"/>
              <a:ext cx="1860988" cy="1210265"/>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823393</xdr:colOff>
      <xdr:row>0</xdr:row>
      <xdr:rowOff>106280</xdr:rowOff>
    </xdr:from>
    <xdr:to>
      <xdr:col>4</xdr:col>
      <xdr:colOff>1703917</xdr:colOff>
      <xdr:row>6</xdr:row>
      <xdr:rowOff>172128</xdr:rowOff>
    </xdr:to>
    <mc:AlternateContent xmlns:mc="http://schemas.openxmlformats.org/markup-compatibility/2006" xmlns:sle15="http://schemas.microsoft.com/office/drawing/2012/slicer">
      <mc:Choice Requires="sle15">
        <xdr:graphicFrame macro="">
          <xdr:nvGraphicFramePr>
            <xdr:cNvPr id="10" name="EC/PDU 4">
              <a:extLst>
                <a:ext uri="{FF2B5EF4-FFF2-40B4-BE49-F238E27FC236}">
                  <a16:creationId xmlns:a16="http://schemas.microsoft.com/office/drawing/2014/main" id="{E83C9F5C-BCA9-45E2-BBF8-329582BC2558}"/>
                </a:ext>
                <a:ext uri="{147F2762-F138-4A5C-976F-8EAC2B608ADB}">
                  <a16:predDERef xmlns:a16="http://schemas.microsoft.com/office/drawing/2014/main" pred="{F16B960A-AB70-E861-BA60-0D682196D11B}"/>
                </a:ext>
              </a:extLst>
            </xdr:cNvPr>
            <xdr:cNvGraphicFramePr/>
          </xdr:nvGraphicFramePr>
          <xdr:xfrm>
            <a:off x="0" y="0"/>
            <a:ext cx="0" cy="0"/>
          </xdr:xfrm>
          <a:graphic>
            <a:graphicData uri="http://schemas.microsoft.com/office/drawing/2010/slicer">
              <sle:slicer xmlns:sle="http://schemas.microsoft.com/office/drawing/2010/slicer" name="EC/PDU 4"/>
            </a:graphicData>
          </a:graphic>
        </xdr:graphicFrame>
      </mc:Choice>
      <mc:Fallback xmlns="">
        <xdr:sp macro="" textlink="">
          <xdr:nvSpPr>
            <xdr:cNvPr id="0" name=""/>
            <xdr:cNvSpPr>
              <a:spLocks noTextEdit="1"/>
            </xdr:cNvSpPr>
          </xdr:nvSpPr>
          <xdr:spPr>
            <a:xfrm>
              <a:off x="6681268" y="106280"/>
              <a:ext cx="2052099" cy="1208848"/>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1788584</xdr:colOff>
      <xdr:row>0</xdr:row>
      <xdr:rowOff>75737</xdr:rowOff>
    </xdr:from>
    <xdr:to>
      <xdr:col>6</xdr:col>
      <xdr:colOff>1555750</xdr:colOff>
      <xdr:row>13</xdr:row>
      <xdr:rowOff>84031</xdr:rowOff>
    </xdr:to>
    <mc:AlternateContent xmlns:mc="http://schemas.openxmlformats.org/markup-compatibility/2006" xmlns:sle15="http://schemas.microsoft.com/office/drawing/2012/slicer">
      <mc:Choice Requires="sle15">
        <xdr:graphicFrame macro="">
          <xdr:nvGraphicFramePr>
            <xdr:cNvPr id="11" name="ShortHand 5">
              <a:extLst>
                <a:ext uri="{FF2B5EF4-FFF2-40B4-BE49-F238E27FC236}">
                  <a16:creationId xmlns:a16="http://schemas.microsoft.com/office/drawing/2014/main" id="{8146FCBA-7E52-4C74-B55C-70A80CF396A2}"/>
                </a:ext>
              </a:extLst>
            </xdr:cNvPr>
            <xdr:cNvGraphicFramePr/>
          </xdr:nvGraphicFramePr>
          <xdr:xfrm>
            <a:off x="0" y="0"/>
            <a:ext cx="0" cy="0"/>
          </xdr:xfrm>
          <a:graphic>
            <a:graphicData uri="http://schemas.microsoft.com/office/drawing/2010/slicer">
              <sle:slicer xmlns:sle="http://schemas.microsoft.com/office/drawing/2010/slicer" name="ShortHand 5"/>
            </a:graphicData>
          </a:graphic>
        </xdr:graphicFrame>
      </mc:Choice>
      <mc:Fallback xmlns="">
        <xdr:sp macro="" textlink="">
          <xdr:nvSpPr>
            <xdr:cNvPr id="0" name=""/>
            <xdr:cNvSpPr>
              <a:spLocks noTextEdit="1"/>
            </xdr:cNvSpPr>
          </xdr:nvSpPr>
          <xdr:spPr>
            <a:xfrm>
              <a:off x="8818034" y="75737"/>
              <a:ext cx="3177116" cy="2494319"/>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ID2" xr10:uid="{E769BB2A-A0C6-4329-B915-225F5EF9ADF0}" sourceName="GRID">
  <extLst>
    <x:ext xmlns:x15="http://schemas.microsoft.com/office/spreadsheetml/2010/11/main" uri="{2F2917AC-EB37-4324-AD4E-5DD8C200BD13}">
      <x15:tableSlicerCache tableId="4"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VM1" xr10:uid="{88A32553-21DF-48D9-8F24-7294DDE38EB6}" sourceName="Region">
  <extLst>
    <x:ext xmlns:x15="http://schemas.microsoft.com/office/spreadsheetml/2010/11/main" uri="{2F2917AC-EB37-4324-AD4E-5DD8C200BD13}">
      <x15:tableSlicerCache tableId="4" column="5"/>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657F2CCA-AF47-4D05-8A50-1123220D8A4A}" sourceName="Island">
  <extLst>
    <x:ext xmlns:x15="http://schemas.microsoft.com/office/spreadsheetml/2010/11/main" uri="{2F2917AC-EB37-4324-AD4E-5DD8C200BD13}">
      <x15:tableSlicerCache tableId="4"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C_PDU31" xr10:uid="{5903BFD1-F177-4931-9E5A-2CF066CA2037}" sourceName="EC/PDU">
  <extLst>
    <x:ext xmlns:x15="http://schemas.microsoft.com/office/spreadsheetml/2010/11/main" uri="{2F2917AC-EB37-4324-AD4E-5DD8C200BD13}">
      <x15:tableSlicerCache tableId="4" column="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rtHand41" xr10:uid="{68C9ED4B-CD1A-466E-8538-A59B59E77BD1}" sourceName="ShortHand">
  <extLst>
    <x:ext xmlns:x15="http://schemas.microsoft.com/office/spreadsheetml/2010/11/main" uri="{2F2917AC-EB37-4324-AD4E-5DD8C200BD13}">
      <x15:tableSlicerCache tableId="4"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ID 2" xr10:uid="{1B1C0763-BBCE-4325-8FAB-A10996E43ED4}" cache="Slicer_GRID2" caption="GRID" rowHeight="241300"/>
  <slicer name="Region 2" xr10:uid="{E6A44FB2-5E3F-4CAE-870B-DCD6F7A64C96}" cache="Slicer_LVM1" caption="Region" columnCount="2" rowHeight="241300"/>
  <slicer name="Island 4" xr10:uid="{F55C1702-81F4-4AD7-A078-7084DA80E8E4}" cache="Slicer_Region2" caption="Island" rowHeight="241300"/>
  <slicer name="EC/PDU 4" xr10:uid="{124FA308-9A9B-4E66-A10C-F05BB22E6689}" cache="Slicer_EC_PDU31" caption="EC/PDU" rowHeight="241300"/>
  <slicer name="ShortHand 5" xr10:uid="{DCD3D245-71F6-4C51-B749-28BEB7F80996}" cache="Slicer_ShortHand41" caption="ShortHand"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7705F0-532F-4618-8436-3955EEC5778D}" name="Table145" displayName="Table145" ref="A16:CY162" totalsRowShown="0" headerRowDxfId="120" dataDxfId="119" tableBorderDxfId="118">
  <autoFilter ref="A16:CY162" xr:uid="{257705F0-532F-4618-8436-3955EEC5778D}"/>
  <sortState xmlns:xlrd2="http://schemas.microsoft.com/office/spreadsheetml/2017/richdata2" ref="A17:CY158">
    <sortCondition ref="C16:C162"/>
  </sortState>
  <tableColumns count="103">
    <tableColumn id="1" xr3:uid="{80D82FBA-6604-4B37-B34C-E8C1530F03D5}" name="No." dataDxfId="117"/>
    <tableColumn id="2" xr3:uid="{426A8043-847E-49BB-AECF-BE84E49BC15A}" name="Distribution Utility" dataDxfId="116"/>
    <tableColumn id="3" xr3:uid="{95F2B810-441D-4CFA-89EE-4C6F218FF4B3}" name="ShortHand" dataDxfId="115"/>
    <tableColumn id="4" xr3:uid="{1F1D56B9-8234-4F0B-B26B-5EF8CA38EB9B}" name="GRID" dataDxfId="114"/>
    <tableColumn id="5" xr3:uid="{EAA8CCDD-C01B-4CA9-B063-6A0799F0B925}" name="Region" dataDxfId="113"/>
    <tableColumn id="6" xr3:uid="{584B020D-A194-4347-BC14-57110F04010A}" name="Island" dataDxfId="112"/>
    <tableColumn id="7" xr3:uid="{558F23B4-874A-4395-BF59-BDE2E172B5B2}" name="EC/PDU" dataDxfId="111"/>
    <tableColumn id="8" xr3:uid="{42618AC4-8E44-4ACE-AC54-68198C48CF88}" name="Jan-18" dataDxfId="110"/>
    <tableColumn id="9" xr3:uid="{856E107E-B70C-43B0-87F9-F9A364D7E8B8}" name="Feb-18" dataDxfId="109"/>
    <tableColumn id="10" xr3:uid="{1EE8270F-AE92-4B23-B817-2435AEF1E74A}" name="Mar-18" dataDxfId="108"/>
    <tableColumn id="11" xr3:uid="{8FF49113-3C1A-41F4-805F-5E59C6BD6C68}" name="Apr-18" dataDxfId="107"/>
    <tableColumn id="12" xr3:uid="{78BD993F-490D-43F3-B63F-5177F183360A}" name="May-18" dataDxfId="106"/>
    <tableColumn id="13" xr3:uid="{C9ABFFB6-A70D-4BBB-9936-67C8C766AC19}" name="Jun-18" dataDxfId="105"/>
    <tableColumn id="14" xr3:uid="{7C86BE5A-F8D8-45C8-917F-F00482719EED}" name="Jul-18" dataDxfId="104"/>
    <tableColumn id="15" xr3:uid="{AF4298B7-23D4-405C-BFBA-F29F86A3695F}" name="Aug-18" dataDxfId="103"/>
    <tableColumn id="16" xr3:uid="{99D48FD6-21B4-42D5-BD4A-35772051E3A0}" name="Sep-18" dataDxfId="102"/>
    <tableColumn id="17" xr3:uid="{B692935A-FC18-462B-92D5-E09B5C5B0DA9}" name="Oct-18" dataDxfId="101"/>
    <tableColumn id="18" xr3:uid="{665399B0-7E85-4255-BAB5-857A1A37AA49}" name="Nov-18" dataDxfId="100"/>
    <tableColumn id="19" xr3:uid="{B675BD1A-AF00-46CD-93E2-75606130F333}" name="Dec-18" dataDxfId="99"/>
    <tableColumn id="20" xr3:uid="{01E8260D-A31C-46B3-B568-54E329C721AE}" name="Jan-19" dataDxfId="98"/>
    <tableColumn id="21" xr3:uid="{1CD2BAF3-5673-4B40-ADDF-4BE3D1D4E9E3}" name="Feb-19" dataDxfId="97"/>
    <tableColumn id="22" xr3:uid="{90F35653-FC98-4E32-9E93-572F3E4625DD}" name="Mar-19" dataDxfId="96"/>
    <tableColumn id="23" xr3:uid="{853AF630-B197-465E-AAC1-940CEA36B364}" name="Apr-19" dataDxfId="95"/>
    <tableColumn id="24" xr3:uid="{67660FB3-C289-40F2-A0CB-51B63C6071A3}" name="May-19" dataDxfId="94"/>
    <tableColumn id="25" xr3:uid="{EFB902D7-1441-41DB-944F-1E2E40687697}" name="Jun-19" dataDxfId="93"/>
    <tableColumn id="26" xr3:uid="{88E33698-C7CE-4351-B3F5-BF01D1BB64C6}" name="Jul-19" dataDxfId="92"/>
    <tableColumn id="27" xr3:uid="{F6410F74-2DBD-4EB8-A690-329DABD54815}" name="Aug-19" dataDxfId="91"/>
    <tableColumn id="28" xr3:uid="{33D8BB82-8E5E-4FD1-899C-B08AFB42FDCD}" name="Sep-19" dataDxfId="90"/>
    <tableColumn id="29" xr3:uid="{FBEE34A9-16A3-4414-B846-B01D1CBFFBBE}" name="Oct-19" dataDxfId="89"/>
    <tableColumn id="30" xr3:uid="{696E0791-BA0E-4E81-A828-2621043784F2}" name="Nov-19" dataDxfId="88"/>
    <tableColumn id="31" xr3:uid="{D917CB9C-3140-42B0-9CA5-AA3DC8BE963A}" name="Dec-19" dataDxfId="87"/>
    <tableColumn id="32" xr3:uid="{041CBEBA-A0E7-48C6-BA1F-F5F6200B03B1}" name="Jan-20" dataDxfId="86"/>
    <tableColumn id="33" xr3:uid="{477F4625-1CE3-473E-A7CC-62DC2C0306F5}" name="Feb-20" dataDxfId="85"/>
    <tableColumn id="34" xr3:uid="{DBF11916-6290-4448-94A1-93B18FD02F85}" name="Mar-20" dataDxfId="84"/>
    <tableColumn id="35" xr3:uid="{0F33B4C2-4EEC-4659-BBA9-EEF1D45CF222}" name="Apr-20" dataDxfId="83"/>
    <tableColumn id="36" xr3:uid="{9FFA4BBA-A498-4C66-99C5-C91F0DB7EDAD}" name="May-20" dataDxfId="82"/>
    <tableColumn id="37" xr3:uid="{BB173C2F-44D4-4843-BC69-39CE0C2C43AD}" name="Jun-20" dataDxfId="81"/>
    <tableColumn id="38" xr3:uid="{A995A84C-001F-4F33-A504-2BE1E6D1F17E}" name="Jul-20" dataDxfId="80"/>
    <tableColumn id="39" xr3:uid="{000C3B06-61F9-4439-B09D-D99A32B85B02}" name="Aug-20" dataDxfId="79"/>
    <tableColumn id="40" xr3:uid="{F85E03F5-BBD5-42CE-B907-5354ACCD7DB0}" name="Sep-20" dataDxfId="78"/>
    <tableColumn id="41" xr3:uid="{1CCCF78E-794B-4736-BB08-2EEC3AC942FA}" name="Oct-20" dataDxfId="77"/>
    <tableColumn id="42" xr3:uid="{8321DEC8-4641-43CD-B1E7-B55388535F87}" name="Nov-20" dataDxfId="76"/>
    <tableColumn id="43" xr3:uid="{AC399CD2-CB35-47FF-95ED-AD906F058B15}" name="Dec-20" dataDxfId="75"/>
    <tableColumn id="44" xr3:uid="{C7FE8270-5952-4C7E-822A-EF413959545F}" name="Jan-21" dataDxfId="74"/>
    <tableColumn id="45" xr3:uid="{5C3BBAFB-8925-43E8-A588-36434F6B94E2}" name="Feb-21" dataDxfId="73"/>
    <tableColumn id="46" xr3:uid="{36C76B5E-9A58-4E46-8895-B05955BAAB71}" name="Mar-21" dataDxfId="72"/>
    <tableColumn id="47" xr3:uid="{041AC231-F19A-4687-ABFF-69F7DBFF2752}" name="Apr-21" dataDxfId="71"/>
    <tableColumn id="48" xr3:uid="{DBB20DBB-D693-4ABA-921A-7D2AFD4971F8}" name="May-21" dataDxfId="70"/>
    <tableColumn id="49" xr3:uid="{54EC8248-1129-4E0F-B004-947BA076F143}" name="Jun-21" dataDxfId="69"/>
    <tableColumn id="50" xr3:uid="{4C1AADDF-C6CC-4EB5-A14C-3F9463E92C9E}" name="Jul-21" dataDxfId="68"/>
    <tableColumn id="51" xr3:uid="{D150D2AE-4232-495A-8CD4-B4AF1609950B}" name="Aug-21" dataDxfId="67"/>
    <tableColumn id="52" xr3:uid="{01CF3D3E-38DD-4FB2-9098-A8139DC3CEA3}" name="Sep-21" dataDxfId="66"/>
    <tableColumn id="53" xr3:uid="{8850288F-99BA-4F62-A2EE-9DB32E29793C}" name="Oct-21" dataDxfId="65"/>
    <tableColumn id="54" xr3:uid="{3C881BB3-C38F-4BD7-8A0C-8C100F67DB9E}" name="Nov-21" dataDxfId="64"/>
    <tableColumn id="55" xr3:uid="{8757F241-CC8D-4A19-8CA8-99ECBCD3AB95}" name="Dec-21" dataDxfId="63"/>
    <tableColumn id="56" xr3:uid="{AD9B2D9D-482F-46B5-8783-82B3531F153B}" name="Jan-22" dataDxfId="62"/>
    <tableColumn id="57" xr3:uid="{80852D1D-0823-4485-B5B0-65DC9CD9563E}" name="Feb-22" dataDxfId="61"/>
    <tableColumn id="58" xr3:uid="{DC9D6708-7AD4-489E-930B-749EC59CED22}" name="Mar-22" dataDxfId="60"/>
    <tableColumn id="59" xr3:uid="{16F79925-8795-48D5-92D7-B2820B4F855D}" name="Apr-22" dataDxfId="59"/>
    <tableColumn id="60" xr3:uid="{E20C23BA-6EED-40EA-933F-3F2A9159177D}" name="May-22" dataDxfId="58"/>
    <tableColumn id="61" xr3:uid="{C7380D4C-8152-4D13-9CD4-9FF5186A4660}" name="Jun-22" dataDxfId="57"/>
    <tableColumn id="62" xr3:uid="{3B1A7336-59D6-4B7F-A7AB-3FB7BD5AA8A7}" name="Jul-22" dataDxfId="56"/>
    <tableColumn id="63" xr3:uid="{67AD5F3B-307B-43AB-873C-EBB350188546}" name="Aug-22" dataDxfId="55"/>
    <tableColumn id="64" xr3:uid="{57039591-8592-4C8A-A4C7-9B2CDD47446A}" name="Sep-22" dataDxfId="54"/>
    <tableColumn id="65" xr3:uid="{29680CC2-8F7A-478D-921A-EDB476AB95BC}" name="Oct-22" dataDxfId="53"/>
    <tableColumn id="66" xr3:uid="{6BA40385-20E7-40E2-8CEF-97576DAD5CF6}" name="Nov-22" dataDxfId="52"/>
    <tableColumn id="67" xr3:uid="{A99783D5-FCCC-4F48-9989-0F864637D2B8}" name="Dec-22" dataDxfId="51"/>
    <tableColumn id="68" xr3:uid="{9018FEF8-1708-455A-9657-7B5900005C84}" name="Jan-23" dataDxfId="50"/>
    <tableColumn id="69" xr3:uid="{5D5ED5E7-5C01-449C-BC8C-042A0445FE81}" name="Feb-23" dataDxfId="49"/>
    <tableColumn id="70" xr3:uid="{00571C4C-D1C2-4143-B01E-D5F4FDA19FA7}" name="Mar-23" dataDxfId="48"/>
    <tableColumn id="71" xr3:uid="{492A948B-4BD2-4EA2-A3F9-CFBDBD783849}" name="Apr-23" dataDxfId="47"/>
    <tableColumn id="72" xr3:uid="{15807552-A38C-44F2-AA0E-12FB5335D7DD}" name="May-23" dataDxfId="46"/>
    <tableColumn id="81" xr3:uid="{FE77D8F7-5ED8-4D35-B1E7-4A907DB0F2BF}" name="Jun-23" dataDxfId="45"/>
    <tableColumn id="80" xr3:uid="{E6E03FD4-C1F5-4626-A90F-7322246C69EF}" name="Jul-23" dataDxfId="44"/>
    <tableColumn id="79" xr3:uid="{880FA52C-9B82-4D33-9335-0C4636B8ABF3}" name="Aug-23" dataDxfId="43"/>
    <tableColumn id="78" xr3:uid="{55A68D65-311B-4FD5-8359-C5D560B31A88}" name="Sep-23" dataDxfId="42"/>
    <tableColumn id="77" xr3:uid="{6FD89711-7D4D-4E2A-9F75-EEB4B0C02C58}" name="Oct-23" dataDxfId="41"/>
    <tableColumn id="84" xr3:uid="{0808CB68-E540-4FAC-9E52-88F967EFBF82}" name="Nov-23" dataDxfId="40"/>
    <tableColumn id="83" xr3:uid="{7BED525B-4073-4B43-B9B9-8175C0FE8914}" name="Dec-23" dataDxfId="39"/>
    <tableColumn id="82" xr3:uid="{175AFE18-83A5-46F1-8297-239460F5197A}" name="Jan-24" dataDxfId="38"/>
    <tableColumn id="95" xr3:uid="{128A3578-6A43-40EE-8B78-91432DDDC585}" name="Feb-24" dataDxfId="37"/>
    <tableColumn id="94" xr3:uid="{81395F2D-9134-49BD-89B7-A616F28D1C8B}" name="Mar-24" dataDxfId="36"/>
    <tableColumn id="93" xr3:uid="{ED282856-6533-4B85-8C89-50B565D4F5B7}" name="Apr-24" dataDxfId="35"/>
    <tableColumn id="92" xr3:uid="{B5227B27-8066-4096-A74C-43ADD47C1620}" name="May-24" dataDxfId="34"/>
    <tableColumn id="91" xr3:uid="{43F13551-8434-4D99-8F6E-BE22F0C620CB}" name="Jun-24" dataDxfId="33"/>
    <tableColumn id="90" xr3:uid="{E1D7972C-FE02-4F27-9087-46F78265C293}" name="Jul-24" dataDxfId="32"/>
    <tableColumn id="89" xr3:uid="{16F57D4F-1930-4EE5-B1C3-76A49773D491}" name="Aug-24" dataDxfId="31"/>
    <tableColumn id="88" xr3:uid="{6EB095CD-34CA-4DC3-A8E5-2CED6BDEF71F}" name="Sep-24" dataDxfId="30"/>
    <tableColumn id="87" xr3:uid="{8CF63605-4352-48A0-9E0F-38A847ADD0C8}" name="Oct-24" dataDxfId="29"/>
    <tableColumn id="86" xr3:uid="{B50FB884-036D-474C-9256-83E33AB41050}" name="Nov-24" dataDxfId="28"/>
    <tableColumn id="96" xr3:uid="{EC7EBF2B-53D8-431F-B4A2-C861D1C1E1A0}" name="Dec-24" dataDxfId="27"/>
    <tableColumn id="107" xr3:uid="{16E4FC15-CCBD-4157-A823-758811BF25D3}" name="Jan-25" dataDxfId="26"/>
    <tableColumn id="106" xr3:uid="{A565AC2C-5534-485B-9298-F7E243EF8716}" name="Feb-25" dataDxfId="25"/>
    <tableColumn id="105" xr3:uid="{BDB188C7-9E37-4E72-B7F5-92F062A2B144}" name="Mar-25" dataDxfId="24"/>
    <tableColumn id="104" xr3:uid="{C16D103B-03B7-4C38-A8C2-AEFB5182D10E}" name="Apr-25" dataDxfId="23"/>
    <tableColumn id="103" xr3:uid="{3B9195F1-32BF-4C64-B540-2BB14D35C5B7}" name="May-25" dataDxfId="22"/>
    <tableColumn id="102" xr3:uid="{5BFA43C0-E680-4F2F-96EB-B63A13FFF5DC}" name="Jun-25" dataDxfId="21"/>
    <tableColumn id="101" xr3:uid="{E9BF7CD6-FB09-4F92-BA51-82DA9E65FF8C}" name="Jul-25" dataDxfId="20"/>
    <tableColumn id="100" xr3:uid="{72962871-30FB-4DBB-8B65-2198612EF44B}" name="Aug-25" dataDxfId="19"/>
    <tableColumn id="99" xr3:uid="{758A1397-3FCE-4791-B7C9-A2203A7F6387}" name="Sep-25" dataDxfId="18"/>
    <tableColumn id="98" xr3:uid="{3BBC4DED-6ECC-4659-9E0F-5F4E1CE84FDE}" name="Oct-25" dataDxfId="17"/>
    <tableColumn id="97" xr3:uid="{E9CFF480-90E0-46B5-906A-4C7963B4C3E5}" name="Nov-25" dataDxfId="16"/>
    <tableColumn id="85" xr3:uid="{51517410-677C-4568-8512-30847B59B726}" name="Dec-25" dataDxfId="15"/>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omments" Target="../comments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A1EFD-024A-456A-A356-47D8619FEC81}">
  <dimension ref="A6:CY163"/>
  <sheetViews>
    <sheetView workbookViewId="0">
      <selection activeCell="B12" sqref="B12"/>
    </sheetView>
  </sheetViews>
  <sheetFormatPr defaultColWidth="9.109375" defaultRowHeight="15" outlineLevelCol="1"/>
  <cols>
    <col min="1" max="1" width="10" style="1" customWidth="1"/>
    <col min="2" max="2" width="55.44140625" style="1" customWidth="1"/>
    <col min="3" max="3" width="22.44140625" style="1" customWidth="1"/>
    <col min="4" max="4" width="17.44140625" style="1" customWidth="1"/>
    <col min="5" max="5" width="34.44140625" style="2" customWidth="1"/>
    <col min="6" max="6" width="16.6640625" style="1" customWidth="1"/>
    <col min="7" max="7" width="24.33203125" style="3" customWidth="1"/>
    <col min="8" max="67" width="11.6640625" style="1" customWidth="1" outlineLevel="1"/>
    <col min="68" max="103" width="11.6640625" style="1" customWidth="1"/>
    <col min="104" max="105" width="9.109375" style="1"/>
    <col min="106" max="106" width="11.44140625" style="1" bestFit="1" customWidth="1"/>
    <col min="107" max="16384" width="9.109375" style="1"/>
  </cols>
  <sheetData>
    <row r="6" spans="1:103">
      <c r="BF6" s="4"/>
      <c r="BJ6" s="4" t="s">
        <v>0</v>
      </c>
      <c r="BM6" s="5">
        <f>0.7273+8.3949+0.0987+0.2235+1.1136-0.1473</f>
        <v>10.410699999999999</v>
      </c>
    </row>
    <row r="7" spans="1:103" ht="15.6">
      <c r="BF7" s="4"/>
      <c r="BJ7" s="4"/>
      <c r="BU7" s="5"/>
      <c r="CN7">
        <f t="shared" ref="CN7" si="0">SUM(BH7:CJ7)</f>
        <v>0</v>
      </c>
    </row>
    <row r="8" spans="1:103">
      <c r="BF8" s="4"/>
      <c r="BJ8" s="4"/>
    </row>
    <row r="9" spans="1:103">
      <c r="BF9" s="4"/>
      <c r="BJ9" s="4"/>
    </row>
    <row r="10" spans="1:103">
      <c r="BF10" s="4"/>
      <c r="BJ10" s="4"/>
    </row>
    <row r="11" spans="1:103">
      <c r="BF11" s="4"/>
      <c r="BJ11" s="4"/>
    </row>
    <row r="12" spans="1:103">
      <c r="BF12" s="4"/>
      <c r="BJ12" s="4"/>
    </row>
    <row r="13" spans="1:103">
      <c r="BF13" s="4"/>
      <c r="BJ13" s="4"/>
    </row>
    <row r="14" spans="1:103" ht="15.6" thickBot="1"/>
    <row r="15" spans="1:103" ht="25.2" thickBot="1">
      <c r="A15" s="6" t="s">
        <v>1</v>
      </c>
      <c r="B15" s="7"/>
      <c r="C15" s="7"/>
      <c r="D15" s="7"/>
      <c r="E15" s="7"/>
      <c r="F15" s="8"/>
      <c r="G15" s="9"/>
      <c r="H15" s="152">
        <v>2018</v>
      </c>
      <c r="I15" s="153"/>
      <c r="J15" s="153"/>
      <c r="K15" s="153"/>
      <c r="L15" s="153"/>
      <c r="M15" s="153"/>
      <c r="N15" s="153"/>
      <c r="O15" s="153"/>
      <c r="P15" s="153"/>
      <c r="Q15" s="153"/>
      <c r="R15" s="153"/>
      <c r="S15" s="154"/>
      <c r="T15" s="152">
        <v>2019</v>
      </c>
      <c r="U15" s="153"/>
      <c r="V15" s="153"/>
      <c r="W15" s="153"/>
      <c r="X15" s="153"/>
      <c r="Y15" s="153"/>
      <c r="Z15" s="153"/>
      <c r="AA15" s="153"/>
      <c r="AB15" s="153"/>
      <c r="AC15" s="153"/>
      <c r="AD15" s="153"/>
      <c r="AE15" s="154"/>
      <c r="AF15" s="152">
        <v>2020</v>
      </c>
      <c r="AG15" s="153"/>
      <c r="AH15" s="153"/>
      <c r="AI15" s="153"/>
      <c r="AJ15" s="153"/>
      <c r="AK15" s="153"/>
      <c r="AL15" s="153"/>
      <c r="AM15" s="153"/>
      <c r="AN15" s="153"/>
      <c r="AO15" s="153"/>
      <c r="AP15" s="153"/>
      <c r="AQ15" s="154"/>
      <c r="AR15" s="152">
        <v>2021</v>
      </c>
      <c r="AS15" s="153"/>
      <c r="AT15" s="153"/>
      <c r="AU15" s="153"/>
      <c r="AV15" s="153"/>
      <c r="AW15" s="153"/>
      <c r="AX15" s="153"/>
      <c r="AY15" s="153"/>
      <c r="AZ15" s="153"/>
      <c r="BA15" s="153"/>
      <c r="BB15" s="153"/>
      <c r="BC15" s="154"/>
      <c r="BD15" s="10">
        <v>2022</v>
      </c>
      <c r="BE15" s="11"/>
      <c r="BF15" s="11"/>
      <c r="BG15" s="11"/>
      <c r="BH15" s="11"/>
      <c r="BI15" s="11"/>
      <c r="BJ15" s="11"/>
      <c r="BK15" s="11"/>
      <c r="BL15" s="11"/>
      <c r="BM15" s="11"/>
      <c r="BN15" s="11"/>
      <c r="BO15" s="12"/>
      <c r="BP15" s="13">
        <v>2023</v>
      </c>
      <c r="BQ15" s="14"/>
      <c r="BR15" s="14"/>
      <c r="BS15" s="14"/>
      <c r="BT15" s="14"/>
      <c r="BU15" s="14"/>
      <c r="BV15" s="14"/>
      <c r="BW15" s="14"/>
      <c r="BX15" s="14"/>
      <c r="BY15" s="14"/>
      <c r="BZ15" s="14"/>
      <c r="CA15" s="15"/>
      <c r="CB15" s="16">
        <v>2024</v>
      </c>
      <c r="CC15" s="17"/>
      <c r="CD15" s="17"/>
      <c r="CE15" s="17"/>
      <c r="CF15" s="17"/>
      <c r="CG15" s="17"/>
      <c r="CH15" s="17"/>
      <c r="CI15" s="17"/>
      <c r="CJ15" s="17"/>
      <c r="CK15" s="17"/>
      <c r="CL15" s="17"/>
      <c r="CM15" s="18"/>
      <c r="CN15" s="13">
        <v>2025</v>
      </c>
      <c r="CO15" s="14"/>
      <c r="CP15" s="14"/>
      <c r="CQ15" s="14"/>
      <c r="CR15" s="14"/>
      <c r="CS15" s="14"/>
      <c r="CT15" s="14"/>
      <c r="CU15" s="14"/>
      <c r="CV15" s="14"/>
      <c r="CW15" s="14"/>
      <c r="CX15" s="14"/>
      <c r="CY15" s="15"/>
    </row>
    <row r="16" spans="1:103" ht="16.2" thickBot="1">
      <c r="A16" s="19" t="s">
        <v>2</v>
      </c>
      <c r="B16" s="20" t="s">
        <v>3</v>
      </c>
      <c r="C16" s="20" t="s">
        <v>4</v>
      </c>
      <c r="D16" s="20" t="s">
        <v>5</v>
      </c>
      <c r="E16" s="20" t="s">
        <v>6</v>
      </c>
      <c r="F16" s="20" t="s">
        <v>7</v>
      </c>
      <c r="G16" s="21" t="s">
        <v>8</v>
      </c>
      <c r="H16" s="22" t="s">
        <v>9</v>
      </c>
      <c r="I16" s="23" t="s">
        <v>10</v>
      </c>
      <c r="J16" s="23" t="s">
        <v>11</v>
      </c>
      <c r="K16" s="23" t="s">
        <v>12</v>
      </c>
      <c r="L16" s="23" t="s">
        <v>13</v>
      </c>
      <c r="M16" s="23" t="s">
        <v>14</v>
      </c>
      <c r="N16" s="23" t="s">
        <v>15</v>
      </c>
      <c r="O16" s="23" t="s">
        <v>16</v>
      </c>
      <c r="P16" s="23" t="s">
        <v>17</v>
      </c>
      <c r="Q16" s="23" t="s">
        <v>18</v>
      </c>
      <c r="R16" s="23" t="s">
        <v>19</v>
      </c>
      <c r="S16" s="24" t="s">
        <v>20</v>
      </c>
      <c r="T16" s="22" t="s">
        <v>21</v>
      </c>
      <c r="U16" s="23" t="s">
        <v>22</v>
      </c>
      <c r="V16" s="23" t="s">
        <v>23</v>
      </c>
      <c r="W16" s="23" t="s">
        <v>24</v>
      </c>
      <c r="X16" s="23" t="s">
        <v>25</v>
      </c>
      <c r="Y16" s="23" t="s">
        <v>26</v>
      </c>
      <c r="Z16" s="23" t="s">
        <v>27</v>
      </c>
      <c r="AA16" s="23" t="s">
        <v>28</v>
      </c>
      <c r="AB16" s="23" t="s">
        <v>29</v>
      </c>
      <c r="AC16" s="23" t="s">
        <v>30</v>
      </c>
      <c r="AD16" s="23" t="s">
        <v>31</v>
      </c>
      <c r="AE16" s="24" t="s">
        <v>32</v>
      </c>
      <c r="AF16" s="22" t="s">
        <v>33</v>
      </c>
      <c r="AG16" s="23" t="s">
        <v>34</v>
      </c>
      <c r="AH16" s="23" t="s">
        <v>35</v>
      </c>
      <c r="AI16" s="23" t="s">
        <v>36</v>
      </c>
      <c r="AJ16" s="23" t="s">
        <v>37</v>
      </c>
      <c r="AK16" s="23" t="s">
        <v>38</v>
      </c>
      <c r="AL16" s="23" t="s">
        <v>39</v>
      </c>
      <c r="AM16" s="23" t="s">
        <v>40</v>
      </c>
      <c r="AN16" s="23" t="s">
        <v>41</v>
      </c>
      <c r="AO16" s="23" t="s">
        <v>42</v>
      </c>
      <c r="AP16" s="23" t="s">
        <v>43</v>
      </c>
      <c r="AQ16" s="24" t="s">
        <v>44</v>
      </c>
      <c r="AR16" s="22" t="s">
        <v>45</v>
      </c>
      <c r="AS16" s="23" t="s">
        <v>46</v>
      </c>
      <c r="AT16" s="23" t="s">
        <v>47</v>
      </c>
      <c r="AU16" s="23" t="s">
        <v>48</v>
      </c>
      <c r="AV16" s="23" t="s">
        <v>49</v>
      </c>
      <c r="AW16" s="23" t="s">
        <v>50</v>
      </c>
      <c r="AX16" s="23" t="s">
        <v>51</v>
      </c>
      <c r="AY16" s="23" t="s">
        <v>52</v>
      </c>
      <c r="AZ16" s="23" t="s">
        <v>53</v>
      </c>
      <c r="BA16" s="23" t="s">
        <v>54</v>
      </c>
      <c r="BB16" s="23" t="s">
        <v>55</v>
      </c>
      <c r="BC16" s="24" t="s">
        <v>56</v>
      </c>
      <c r="BD16" s="22" t="s">
        <v>57</v>
      </c>
      <c r="BE16" s="23" t="s">
        <v>58</v>
      </c>
      <c r="BF16" s="23" t="s">
        <v>59</v>
      </c>
      <c r="BG16" s="23" t="s">
        <v>60</v>
      </c>
      <c r="BH16" s="23" t="s">
        <v>61</v>
      </c>
      <c r="BI16" s="23" t="s">
        <v>62</v>
      </c>
      <c r="BJ16" s="23" t="s">
        <v>63</v>
      </c>
      <c r="BK16" s="23" t="s">
        <v>64</v>
      </c>
      <c r="BL16" s="23" t="s">
        <v>65</v>
      </c>
      <c r="BM16" s="23" t="s">
        <v>66</v>
      </c>
      <c r="BN16" s="23" t="s">
        <v>67</v>
      </c>
      <c r="BO16" s="24" t="s">
        <v>68</v>
      </c>
      <c r="BP16" s="22" t="s">
        <v>69</v>
      </c>
      <c r="BQ16" s="23" t="s">
        <v>70</v>
      </c>
      <c r="BR16" s="23" t="s">
        <v>71</v>
      </c>
      <c r="BS16" s="23" t="s">
        <v>72</v>
      </c>
      <c r="BT16" s="25" t="s">
        <v>73</v>
      </c>
      <c r="BU16" s="23" t="s">
        <v>74</v>
      </c>
      <c r="BV16" s="23" t="s">
        <v>75</v>
      </c>
      <c r="BW16" s="23" t="s">
        <v>76</v>
      </c>
      <c r="BX16" s="23" t="s">
        <v>77</v>
      </c>
      <c r="BY16" s="23" t="s">
        <v>78</v>
      </c>
      <c r="BZ16" s="23" t="s">
        <v>79</v>
      </c>
      <c r="CA16" s="26" t="s">
        <v>80</v>
      </c>
      <c r="CB16" s="27" t="s">
        <v>81</v>
      </c>
      <c r="CC16" s="28" t="s">
        <v>82</v>
      </c>
      <c r="CD16" s="28" t="s">
        <v>83</v>
      </c>
      <c r="CE16" s="28" t="s">
        <v>84</v>
      </c>
      <c r="CF16" s="28" t="s">
        <v>85</v>
      </c>
      <c r="CG16" s="28" t="s">
        <v>86</v>
      </c>
      <c r="CH16" s="28" t="s">
        <v>87</v>
      </c>
      <c r="CI16" s="28" t="s">
        <v>88</v>
      </c>
      <c r="CJ16" s="28" t="s">
        <v>89</v>
      </c>
      <c r="CK16" s="28" t="s">
        <v>90</v>
      </c>
      <c r="CL16" s="28" t="s">
        <v>91</v>
      </c>
      <c r="CM16" s="29" t="s">
        <v>92</v>
      </c>
      <c r="CN16" s="30" t="s">
        <v>93</v>
      </c>
      <c r="CO16" s="30" t="s">
        <v>94</v>
      </c>
      <c r="CP16" s="30" t="s">
        <v>95</v>
      </c>
      <c r="CQ16" s="30" t="s">
        <v>96</v>
      </c>
      <c r="CR16" s="30" t="s">
        <v>97</v>
      </c>
      <c r="CS16" s="30" t="s">
        <v>98</v>
      </c>
      <c r="CT16" s="30" t="s">
        <v>99</v>
      </c>
      <c r="CU16" s="30" t="s">
        <v>100</v>
      </c>
      <c r="CV16" s="30" t="s">
        <v>101</v>
      </c>
      <c r="CW16" s="30" t="s">
        <v>102</v>
      </c>
      <c r="CX16" s="30" t="s">
        <v>103</v>
      </c>
      <c r="CY16" s="30" t="s">
        <v>104</v>
      </c>
    </row>
    <row r="17" spans="1:103" ht="45" customHeight="1">
      <c r="A17" s="31">
        <v>3</v>
      </c>
      <c r="B17" s="32" t="s">
        <v>105</v>
      </c>
      <c r="C17" s="33" t="s">
        <v>106</v>
      </c>
      <c r="D17" s="33" t="s">
        <v>107</v>
      </c>
      <c r="E17" s="33" t="s">
        <v>108</v>
      </c>
      <c r="F17" s="33" t="s">
        <v>109</v>
      </c>
      <c r="G17" s="34" t="s">
        <v>110</v>
      </c>
      <c r="H17" s="35">
        <v>9.0287000000000006</v>
      </c>
      <c r="I17" s="36">
        <v>7.8338999999999999</v>
      </c>
      <c r="J17" s="36">
        <v>9.2056000000000004</v>
      </c>
      <c r="K17" s="36">
        <v>10.6999</v>
      </c>
      <c r="L17" s="36">
        <v>9.4551999999999996</v>
      </c>
      <c r="M17" s="36">
        <v>9.4659999999999993</v>
      </c>
      <c r="N17" s="36">
        <v>9.4329000000000001</v>
      </c>
      <c r="O17" s="36">
        <v>8.9391999999999996</v>
      </c>
      <c r="P17" s="36">
        <v>7.2705000000000002</v>
      </c>
      <c r="Q17" s="36">
        <v>7.7596999999999996</v>
      </c>
      <c r="R17" s="36">
        <v>8.3705999999999996</v>
      </c>
      <c r="S17" s="37">
        <v>7.8489000000000004</v>
      </c>
      <c r="T17" s="35">
        <v>7.7408999999999999</v>
      </c>
      <c r="U17" s="36">
        <v>9.1968999999999994</v>
      </c>
      <c r="V17" s="36">
        <v>8.9307999999999996</v>
      </c>
      <c r="W17" s="36">
        <v>9.3867999999999991</v>
      </c>
      <c r="X17" s="36">
        <v>9.8698999999999995</v>
      </c>
      <c r="Y17" s="36">
        <v>9.7082999999999995</v>
      </c>
      <c r="Z17" s="36">
        <v>10.3217</v>
      </c>
      <c r="AA17" s="36">
        <v>9.2920999999999996</v>
      </c>
      <c r="AB17" s="36">
        <v>8.9727999999999994</v>
      </c>
      <c r="AC17" s="36">
        <v>8.7584</v>
      </c>
      <c r="AD17" s="36">
        <v>9.0448000000000004</v>
      </c>
      <c r="AE17" s="37">
        <v>9.2539999999999996</v>
      </c>
      <c r="AF17" s="35">
        <v>9.2393999999999998</v>
      </c>
      <c r="AG17" s="36">
        <v>8.6625999999999994</v>
      </c>
      <c r="AH17" s="36">
        <v>8.7169000000000008</v>
      </c>
      <c r="AI17" s="36">
        <v>8.8192000000000004</v>
      </c>
      <c r="AJ17" s="36">
        <v>8.5541999999999998</v>
      </c>
      <c r="AK17" s="36">
        <v>8.7169000000000008</v>
      </c>
      <c r="AL17" s="36">
        <v>8.5626999999999995</v>
      </c>
      <c r="AM17" s="36">
        <v>8.5493000000000006</v>
      </c>
      <c r="AN17" s="36">
        <v>8.1999999999999993</v>
      </c>
      <c r="AO17" s="36">
        <v>8.8498999999999999</v>
      </c>
      <c r="AP17" s="36">
        <v>8.3820999999999994</v>
      </c>
      <c r="AQ17" s="37">
        <v>8.4577000000000009</v>
      </c>
      <c r="AR17" s="35">
        <v>8.5462000000000007</v>
      </c>
      <c r="AS17" s="36">
        <v>8.7286999999999999</v>
      </c>
      <c r="AT17" s="36">
        <v>9.0166000000000004</v>
      </c>
      <c r="AU17" s="36">
        <v>9.0860000000000003</v>
      </c>
      <c r="AV17" s="36">
        <v>9.0713000000000008</v>
      </c>
      <c r="AW17" s="36">
        <v>10.5442</v>
      </c>
      <c r="AX17" s="36">
        <v>10.440300000000001</v>
      </c>
      <c r="AY17" s="36">
        <v>11.3832</v>
      </c>
      <c r="AZ17" s="36">
        <v>10.3436</v>
      </c>
      <c r="BA17" s="36">
        <v>10.7226</v>
      </c>
      <c r="BB17" s="36">
        <v>12.0961</v>
      </c>
      <c r="BC17" s="37">
        <v>12.084899999999999</v>
      </c>
      <c r="BD17" s="35">
        <v>12.885400000000001</v>
      </c>
      <c r="BE17" s="36">
        <v>12.959199999999999</v>
      </c>
      <c r="BF17" s="36">
        <v>12.6393</v>
      </c>
      <c r="BG17" s="36">
        <v>13.436</v>
      </c>
      <c r="BH17" s="36">
        <v>14.141500000000001</v>
      </c>
      <c r="BI17" s="36">
        <v>14.674899999999999</v>
      </c>
      <c r="BJ17" s="36">
        <v>17.6401</v>
      </c>
      <c r="BK17" s="36">
        <v>17.3977</v>
      </c>
      <c r="BL17" s="36">
        <v>18.0168</v>
      </c>
      <c r="BM17" s="36">
        <v>17.659099999999999</v>
      </c>
      <c r="BN17" s="36">
        <v>16.967099999999999</v>
      </c>
      <c r="BO17" s="37">
        <v>16.4923</v>
      </c>
      <c r="BP17" s="35">
        <v>16.925599999999999</v>
      </c>
      <c r="BQ17" s="36">
        <v>15.764399999999998</v>
      </c>
      <c r="BR17" s="36">
        <v>14.366200000000005</v>
      </c>
      <c r="BS17" s="36">
        <v>13.221599999999999</v>
      </c>
      <c r="BT17" s="36">
        <v>13.805899999999994</v>
      </c>
      <c r="BU17" s="36"/>
      <c r="BV17" s="36">
        <v>13.871599999999999</v>
      </c>
      <c r="BW17" s="36">
        <v>15.442299999999996</v>
      </c>
      <c r="BX17" s="36">
        <v>10.402699999999999</v>
      </c>
      <c r="BY17" s="36">
        <v>11.755499999999994</v>
      </c>
      <c r="BZ17" s="36">
        <v>13.006299999999998</v>
      </c>
      <c r="CA17" s="38">
        <v>11.688799999999997</v>
      </c>
      <c r="CB17" s="35">
        <v>10.632999999999999</v>
      </c>
      <c r="CC17" s="36">
        <v>11.4346</v>
      </c>
      <c r="CD17" s="36">
        <v>10.9146</v>
      </c>
      <c r="CE17" s="36">
        <v>9.8917000000000002</v>
      </c>
      <c r="CF17" s="36">
        <v>9.8917000000000002</v>
      </c>
      <c r="CG17" s="36">
        <v>13.2057</v>
      </c>
      <c r="CH17" s="36">
        <v>13.230700000000001</v>
      </c>
      <c r="CI17" s="36">
        <v>14.0321</v>
      </c>
      <c r="CJ17" s="36">
        <v>13.752700000000001</v>
      </c>
      <c r="CK17" s="36"/>
      <c r="CL17" s="36"/>
      <c r="CM17" s="38"/>
      <c r="CN17" s="36"/>
      <c r="CO17" s="36"/>
      <c r="CP17" s="36"/>
      <c r="CQ17" s="36"/>
      <c r="CR17" s="36"/>
      <c r="CS17" s="36"/>
      <c r="CT17" s="36"/>
      <c r="CU17" s="36"/>
      <c r="CV17" s="36"/>
      <c r="CW17" s="36"/>
      <c r="CX17" s="36"/>
      <c r="CY17" s="36"/>
    </row>
    <row r="18" spans="1:103" ht="45" customHeight="1">
      <c r="A18" s="39">
        <v>108</v>
      </c>
      <c r="B18" s="40" t="s">
        <v>111</v>
      </c>
      <c r="C18" s="41" t="s">
        <v>112</v>
      </c>
      <c r="D18" s="41" t="s">
        <v>107</v>
      </c>
      <c r="E18" s="41" t="s">
        <v>113</v>
      </c>
      <c r="F18" s="41" t="s">
        <v>109</v>
      </c>
      <c r="G18" s="42" t="s">
        <v>114</v>
      </c>
      <c r="H18" s="35"/>
      <c r="I18" s="36"/>
      <c r="J18" s="36"/>
      <c r="K18" s="36"/>
      <c r="L18" s="36"/>
      <c r="M18" s="36"/>
      <c r="N18" s="36"/>
      <c r="O18" s="36"/>
      <c r="P18" s="36"/>
      <c r="Q18" s="36"/>
      <c r="R18" s="36"/>
      <c r="S18" s="37"/>
      <c r="T18" s="35"/>
      <c r="U18" s="36"/>
      <c r="V18" s="36"/>
      <c r="W18" s="36"/>
      <c r="X18" s="36"/>
      <c r="Y18" s="36"/>
      <c r="Z18" s="36"/>
      <c r="AA18" s="36"/>
      <c r="AB18" s="36"/>
      <c r="AC18" s="36"/>
      <c r="AD18" s="36"/>
      <c r="AE18" s="37"/>
      <c r="AF18" s="35"/>
      <c r="AG18" s="36"/>
      <c r="AH18" s="36"/>
      <c r="AI18" s="36"/>
      <c r="AJ18" s="36"/>
      <c r="AK18" s="36"/>
      <c r="AL18" s="36"/>
      <c r="AM18" s="36"/>
      <c r="AN18" s="36"/>
      <c r="AO18" s="36"/>
      <c r="AP18" s="36"/>
      <c r="AQ18" s="37"/>
      <c r="AR18" s="35"/>
      <c r="AS18" s="36"/>
      <c r="AT18" s="36"/>
      <c r="AU18" s="36"/>
      <c r="AV18" s="36"/>
      <c r="AW18" s="36"/>
      <c r="AX18" s="36"/>
      <c r="AY18" s="36"/>
      <c r="AZ18" s="36"/>
      <c r="BA18" s="36"/>
      <c r="BB18" s="36"/>
      <c r="BC18" s="37"/>
      <c r="BD18" s="35"/>
      <c r="BE18" s="36"/>
      <c r="BF18" s="36"/>
      <c r="BG18" s="36"/>
      <c r="BH18" s="36"/>
      <c r="BI18" s="36"/>
      <c r="BJ18" s="36"/>
      <c r="BK18" s="36"/>
      <c r="BL18" s="36"/>
      <c r="BM18" s="36"/>
      <c r="BN18" s="36"/>
      <c r="BO18" s="37"/>
      <c r="BP18" s="35">
        <v>11.517400000000002</v>
      </c>
      <c r="BQ18" s="36">
        <v>12.0825</v>
      </c>
      <c r="BR18" s="36">
        <v>12.766700000000002</v>
      </c>
      <c r="BS18" s="36">
        <v>13.327200000000001</v>
      </c>
      <c r="BT18" s="36">
        <v>13.265700000000004</v>
      </c>
      <c r="BU18" s="36">
        <v>13.0495</v>
      </c>
      <c r="BV18" s="36">
        <v>10.55</v>
      </c>
      <c r="BW18" s="36">
        <v>10.16</v>
      </c>
      <c r="BX18" s="36">
        <v>7.62</v>
      </c>
      <c r="BY18" s="36">
        <v>9.5399999999999991</v>
      </c>
      <c r="BZ18" s="36">
        <f>BY18+0.4758</f>
        <v>10.015799999999999</v>
      </c>
      <c r="CA18" s="38">
        <f>BZ18+1.0822</f>
        <v>11.097999999999999</v>
      </c>
      <c r="CB18" s="43">
        <f>Table145[[#This Row],[Dec-23]]+0.2775</f>
        <v>11.375499999999999</v>
      </c>
      <c r="CC18" s="44">
        <f>Table145[[#This Row],[Jan-24]]-0.0901</f>
        <v>11.285399999999999</v>
      </c>
      <c r="CD18" s="45">
        <f>Table145[[#This Row],[Feb-24]]+0.5441</f>
        <v>11.829499999999999</v>
      </c>
      <c r="CE18" s="45">
        <f>Table145[[#This Row],[Mar-24]]+0.0832</f>
        <v>11.912699999999999</v>
      </c>
      <c r="CF18" s="45">
        <f>Table145[[#This Row],[Apr-24]]+0.0832</f>
        <v>11.995899999999999</v>
      </c>
      <c r="CG18" s="36">
        <f>Table145[[#This Row],[May-24]]-2.4729</f>
        <v>9.5229999999999997</v>
      </c>
      <c r="CH18" s="36">
        <f>Table145[[#This Row],[Jun-24]]+3.3777</f>
        <v>12.900700000000001</v>
      </c>
      <c r="CI18" s="44">
        <f>Table145[[#This Row],[Jul-24]]+0.253</f>
        <v>13.153700000000001</v>
      </c>
      <c r="CJ18" s="44">
        <f>Table145[[#This Row],[Aug-24]]+0.3284</f>
        <v>13.482100000000001</v>
      </c>
      <c r="CK18" s="44">
        <f>Table145[[#This Row],[Sep-24]]-2.3213</f>
        <v>11.160800000000002</v>
      </c>
      <c r="CL18" s="44">
        <f>Table145[[#This Row],[Oct-24]]-2.3213</f>
        <v>8.839500000000001</v>
      </c>
      <c r="CM18" s="46">
        <f>Table145[[#This Row],[Nov-24]]+0.0686</f>
        <v>8.908100000000001</v>
      </c>
      <c r="CN18" s="36">
        <f>Table145[[#This Row],[Dec-24]]-0.4952</f>
        <v>8.4129000000000005</v>
      </c>
      <c r="CO18" s="44">
        <f>Table145[[#This Row],[Jan-25]]-0.1919</f>
        <v>8.2210000000000001</v>
      </c>
      <c r="CP18" s="44">
        <f>Table145[[#This Row],[Feb-25]]-0.1919</f>
        <v>8.0290999999999997</v>
      </c>
      <c r="CQ18" s="44">
        <f>Table145[[#This Row],[Mar-25]]+0.518</f>
        <v>8.5471000000000004</v>
      </c>
      <c r="CR18" s="44"/>
      <c r="CS18" s="44"/>
      <c r="CT18" s="44"/>
      <c r="CU18" s="44"/>
      <c r="CV18" s="44"/>
      <c r="CW18" s="44"/>
      <c r="CX18" s="44"/>
      <c r="CY18" s="44"/>
    </row>
    <row r="19" spans="1:103" ht="45" customHeight="1">
      <c r="A19" s="39">
        <v>51</v>
      </c>
      <c r="B19" s="40" t="s">
        <v>115</v>
      </c>
      <c r="C19" s="41" t="s">
        <v>116</v>
      </c>
      <c r="D19" s="41" t="s">
        <v>107</v>
      </c>
      <c r="E19" s="41" t="s">
        <v>117</v>
      </c>
      <c r="F19" s="41" t="s">
        <v>118</v>
      </c>
      <c r="G19" s="42" t="s">
        <v>110</v>
      </c>
      <c r="H19" s="35">
        <v>7.9039999999999999</v>
      </c>
      <c r="I19" s="36">
        <v>7.7626999999999997</v>
      </c>
      <c r="J19" s="36">
        <v>8.2746999999999993</v>
      </c>
      <c r="K19" s="36">
        <v>8.6587999999999994</v>
      </c>
      <c r="L19" s="36">
        <v>8.4705999999999992</v>
      </c>
      <c r="M19" s="36">
        <v>8.4565000000000001</v>
      </c>
      <c r="N19" s="36">
        <v>8.5675000000000008</v>
      </c>
      <c r="O19" s="36">
        <v>8.8770000000000007</v>
      </c>
      <c r="P19" s="36">
        <v>8.3785000000000007</v>
      </c>
      <c r="Q19" s="36">
        <v>8.6069999999999993</v>
      </c>
      <c r="R19" s="36">
        <v>8.5328999999999997</v>
      </c>
      <c r="S19" s="37">
        <v>8.5313999999999997</v>
      </c>
      <c r="T19" s="35">
        <v>8.4678000000000004</v>
      </c>
      <c r="U19" s="36">
        <v>8.8747000000000007</v>
      </c>
      <c r="V19" s="36">
        <v>8.7482000000000006</v>
      </c>
      <c r="W19" s="36">
        <v>9.0170999999999992</v>
      </c>
      <c r="X19" s="36">
        <v>8.2022999999999993</v>
      </c>
      <c r="Y19" s="36">
        <v>9.3117000000000001</v>
      </c>
      <c r="Z19" s="36">
        <v>9.2766999999999999</v>
      </c>
      <c r="AA19" s="36">
        <v>7.7449000000000003</v>
      </c>
      <c r="AB19" s="36">
        <v>7.1317000000000004</v>
      </c>
      <c r="AC19" s="36">
        <v>6.9103000000000003</v>
      </c>
      <c r="AD19" s="36">
        <v>8.3437000000000001</v>
      </c>
      <c r="AE19" s="37">
        <v>8.7790999999999997</v>
      </c>
      <c r="AF19" s="35">
        <v>8.4703999999999997</v>
      </c>
      <c r="AG19" s="36">
        <v>7.5880999999999998</v>
      </c>
      <c r="AH19" s="36">
        <v>8.4163999999999994</v>
      </c>
      <c r="AI19" s="36">
        <v>8.3086000000000002</v>
      </c>
      <c r="AJ19" s="36">
        <v>7.8106</v>
      </c>
      <c r="AK19" s="36">
        <v>7.7568999999999999</v>
      </c>
      <c r="AL19" s="36">
        <v>7.5842999999999998</v>
      </c>
      <c r="AM19" s="36">
        <v>7.4984999999999999</v>
      </c>
      <c r="AN19" s="36">
        <v>7.7751999999999999</v>
      </c>
      <c r="AO19" s="36">
        <v>7.7869999999999999</v>
      </c>
      <c r="AP19" s="36">
        <v>7.6074000000000002</v>
      </c>
      <c r="AQ19" s="37">
        <v>7.3041</v>
      </c>
      <c r="AR19" s="35">
        <v>7.4368999999999996</v>
      </c>
      <c r="AS19" s="36">
        <v>7.8434999999999997</v>
      </c>
      <c r="AT19" s="36">
        <v>8.0107999999999997</v>
      </c>
      <c r="AU19" s="36">
        <v>8.3516999999999992</v>
      </c>
      <c r="AV19" s="36">
        <v>8.1419999999999995</v>
      </c>
      <c r="AW19" s="36">
        <v>8.5181000000000004</v>
      </c>
      <c r="AX19" s="36">
        <v>8.3978999999999999</v>
      </c>
      <c r="AY19" s="36">
        <v>8.5044000000000004</v>
      </c>
      <c r="AZ19" s="36">
        <v>8.9483999999999995</v>
      </c>
      <c r="BA19" s="36">
        <v>8.6971000000000007</v>
      </c>
      <c r="BB19" s="36">
        <v>8.8926999999999996</v>
      </c>
      <c r="BC19" s="37">
        <v>9.1235999999999997</v>
      </c>
      <c r="BD19" s="35">
        <v>9.3963000000000001</v>
      </c>
      <c r="BE19" s="36">
        <v>10.2713</v>
      </c>
      <c r="BF19" s="36">
        <v>9.6658000000000008</v>
      </c>
      <c r="BG19" s="36">
        <v>9.8809000000000005</v>
      </c>
      <c r="BH19" s="36">
        <v>8.9955999999999996</v>
      </c>
      <c r="BI19" s="36">
        <v>9.9751999999999992</v>
      </c>
      <c r="BJ19" s="36">
        <v>10.677199999999999</v>
      </c>
      <c r="BK19" s="36">
        <v>11.076599999999999</v>
      </c>
      <c r="BL19" s="36">
        <v>12.579700000000001</v>
      </c>
      <c r="BM19" s="36">
        <v>12.509499999999999</v>
      </c>
      <c r="BN19" s="36">
        <v>12.736599999999999</v>
      </c>
      <c r="BO19" s="37">
        <v>12.8254</v>
      </c>
      <c r="BP19" s="35">
        <v>11.955</v>
      </c>
      <c r="BQ19" s="36">
        <v>11.265499999999999</v>
      </c>
      <c r="BR19" s="47">
        <v>11.7431</v>
      </c>
      <c r="BS19" s="36">
        <v>11.1259</v>
      </c>
      <c r="BT19" s="36">
        <v>11.115600000000001</v>
      </c>
      <c r="BU19" s="36">
        <v>13.5596</v>
      </c>
      <c r="BV19" s="36">
        <v>11.006600000000001</v>
      </c>
      <c r="BW19" s="36">
        <v>11.654500000000001</v>
      </c>
      <c r="BX19" s="36">
        <v>11.6114</v>
      </c>
      <c r="BY19" s="36">
        <v>12.0671</v>
      </c>
      <c r="BZ19" s="36">
        <v>13.132999999999999</v>
      </c>
      <c r="CA19" s="38">
        <v>12.3322</v>
      </c>
      <c r="CB19" s="48">
        <v>12.541399999999999</v>
      </c>
      <c r="CC19" s="45">
        <v>13.6282</v>
      </c>
      <c r="CD19" s="45">
        <v>12.0144</v>
      </c>
      <c r="CE19" s="45">
        <v>13.5106</v>
      </c>
      <c r="CF19" s="45">
        <v>14.926600000000001</v>
      </c>
      <c r="CG19" s="45">
        <v>13.737299999999999</v>
      </c>
      <c r="CH19" s="36">
        <v>13.4611</v>
      </c>
      <c r="CI19" s="49">
        <v>15.1569</v>
      </c>
      <c r="CJ19" s="45">
        <v>13.7258</v>
      </c>
      <c r="CK19" s="45">
        <v>13.107699999999999</v>
      </c>
      <c r="CL19" s="45">
        <v>13.9459</v>
      </c>
      <c r="CM19" s="50">
        <v>13.1814</v>
      </c>
      <c r="CN19" s="36">
        <v>13.061</v>
      </c>
      <c r="CO19" s="45">
        <v>13.368399999999999</v>
      </c>
      <c r="CP19" s="45"/>
      <c r="CQ19" s="45"/>
      <c r="CR19" s="45"/>
      <c r="CS19" s="45"/>
      <c r="CT19" s="45"/>
      <c r="CU19" s="45"/>
      <c r="CV19" s="45"/>
      <c r="CW19" s="45"/>
      <c r="CX19" s="45"/>
      <c r="CY19" s="45"/>
    </row>
    <row r="20" spans="1:103" ht="45" customHeight="1">
      <c r="A20" s="39">
        <v>96</v>
      </c>
      <c r="B20" s="40" t="s">
        <v>119</v>
      </c>
      <c r="C20" s="41" t="s">
        <v>120</v>
      </c>
      <c r="D20" s="41" t="s">
        <v>107</v>
      </c>
      <c r="E20" s="41" t="s">
        <v>121</v>
      </c>
      <c r="F20" s="41" t="s">
        <v>109</v>
      </c>
      <c r="G20" s="42" t="s">
        <v>110</v>
      </c>
      <c r="H20" s="35"/>
      <c r="I20" s="36"/>
      <c r="J20" s="36"/>
      <c r="K20" s="36"/>
      <c r="L20" s="36"/>
      <c r="M20" s="36"/>
      <c r="N20" s="36"/>
      <c r="O20" s="36"/>
      <c r="P20" s="36"/>
      <c r="Q20" s="36"/>
      <c r="R20" s="36"/>
      <c r="S20" s="37"/>
      <c r="T20" s="35"/>
      <c r="U20" s="36"/>
      <c r="V20" s="36"/>
      <c r="W20" s="36"/>
      <c r="X20" s="36"/>
      <c r="Y20" s="36"/>
      <c r="Z20" s="36"/>
      <c r="AA20" s="36"/>
      <c r="AB20" s="36"/>
      <c r="AC20" s="36"/>
      <c r="AD20" s="36"/>
      <c r="AE20" s="37"/>
      <c r="AF20" s="35"/>
      <c r="AG20" s="36"/>
      <c r="AH20" s="36"/>
      <c r="AI20" s="36"/>
      <c r="AJ20" s="36"/>
      <c r="AK20" s="36"/>
      <c r="AL20" s="36"/>
      <c r="AM20" s="36"/>
      <c r="AN20" s="36"/>
      <c r="AO20" s="36"/>
      <c r="AP20" s="36"/>
      <c r="AQ20" s="37"/>
      <c r="AR20" s="35"/>
      <c r="AS20" s="36"/>
      <c r="AT20" s="36"/>
      <c r="AU20" s="36"/>
      <c r="AV20" s="36"/>
      <c r="AW20" s="36"/>
      <c r="AX20" s="36"/>
      <c r="AY20" s="36"/>
      <c r="AZ20" s="36"/>
      <c r="BA20" s="36"/>
      <c r="BB20" s="36"/>
      <c r="BC20" s="37"/>
      <c r="BD20" s="35">
        <v>13.2996</v>
      </c>
      <c r="BE20" s="36">
        <v>13.5793</v>
      </c>
      <c r="BF20" s="36">
        <v>13.4887</v>
      </c>
      <c r="BG20" s="36">
        <v>14.6218</v>
      </c>
      <c r="BH20" s="36">
        <v>14.8596</v>
      </c>
      <c r="BI20" s="36">
        <v>15.7233</v>
      </c>
      <c r="BJ20" s="36">
        <v>18.399899999999999</v>
      </c>
      <c r="BK20" s="36">
        <v>18.036899999999999</v>
      </c>
      <c r="BL20" s="36">
        <v>18.036899999999999</v>
      </c>
      <c r="BM20" s="36"/>
      <c r="BN20" s="36">
        <v>15.040100000000001</v>
      </c>
      <c r="BO20" s="37"/>
      <c r="BP20" s="35">
        <v>14.439299999999999</v>
      </c>
      <c r="BQ20" s="36">
        <v>10.5754</v>
      </c>
      <c r="BR20" s="36">
        <v>12.692299999999999</v>
      </c>
      <c r="BS20" s="36">
        <v>10.110900000000001</v>
      </c>
      <c r="BT20" s="36">
        <v>11.9399</v>
      </c>
      <c r="BU20" s="36">
        <v>13.1678</v>
      </c>
      <c r="BV20" s="36">
        <v>10.3629</v>
      </c>
      <c r="BW20" s="36">
        <v>9.2692999999999994</v>
      </c>
      <c r="BX20" s="36">
        <v>9.1508000000000003</v>
      </c>
      <c r="BY20" s="36">
        <v>8.9296000000000006</v>
      </c>
      <c r="BZ20" s="36">
        <v>9.7132000000000005</v>
      </c>
      <c r="CA20" s="38">
        <v>7.5993000000000004</v>
      </c>
      <c r="CB20" s="35">
        <v>7.3220999999999998</v>
      </c>
      <c r="CC20" s="51">
        <v>8.4878</v>
      </c>
      <c r="CD20" s="45">
        <v>8.6791</v>
      </c>
      <c r="CE20" s="36">
        <v>10.074299999999999</v>
      </c>
      <c r="CF20" s="45">
        <v>11.760400000000001</v>
      </c>
      <c r="CG20" s="36">
        <v>13.921099999999999</v>
      </c>
      <c r="CH20" s="36">
        <v>11.1907</v>
      </c>
      <c r="CI20" s="36">
        <f>6.4577-0.0121+0.7661+0.7454+0.5782+0.6001+0.4326+0.1805+0.0017+0.0428+0.0838+0.0474+0.0002+0.0003+0.2904</f>
        <v>10.215099999999998</v>
      </c>
      <c r="CJ20" s="36">
        <v>12.0053</v>
      </c>
      <c r="CK20" s="36">
        <v>8.6873000000000005</v>
      </c>
      <c r="CL20" s="36">
        <v>9.0433000000000003</v>
      </c>
      <c r="CM20" s="38">
        <v>9.2736000000000001</v>
      </c>
      <c r="CN20" s="36">
        <v>8.1966000000000001</v>
      </c>
      <c r="CO20" s="36">
        <v>7.1782000000000004</v>
      </c>
      <c r="CP20" s="36">
        <v>9.9509000000000007</v>
      </c>
      <c r="CQ20" s="36"/>
      <c r="CR20" s="36"/>
      <c r="CS20" s="36"/>
      <c r="CT20" s="36"/>
      <c r="CU20" s="36"/>
      <c r="CV20" s="36"/>
      <c r="CW20" s="36"/>
      <c r="CX20" s="36"/>
      <c r="CY20" s="36"/>
    </row>
    <row r="21" spans="1:103" ht="45" customHeight="1">
      <c r="A21" s="39">
        <v>55</v>
      </c>
      <c r="B21" s="32" t="s">
        <v>122</v>
      </c>
      <c r="C21" s="33" t="s">
        <v>123</v>
      </c>
      <c r="D21" s="33" t="s">
        <v>107</v>
      </c>
      <c r="E21" s="41" t="s">
        <v>124</v>
      </c>
      <c r="F21" s="33" t="s">
        <v>125</v>
      </c>
      <c r="G21" s="34" t="s">
        <v>110</v>
      </c>
      <c r="H21" s="35"/>
      <c r="I21" s="36"/>
      <c r="J21" s="36"/>
      <c r="K21" s="36"/>
      <c r="L21" s="36"/>
      <c r="M21" s="36"/>
      <c r="N21" s="36"/>
      <c r="O21" s="36"/>
      <c r="P21" s="36"/>
      <c r="Q21" s="36"/>
      <c r="R21" s="36"/>
      <c r="S21" s="37"/>
      <c r="T21" s="35"/>
      <c r="U21" s="36"/>
      <c r="V21" s="36"/>
      <c r="W21" s="36"/>
      <c r="X21" s="36"/>
      <c r="Y21" s="36"/>
      <c r="Z21" s="36"/>
      <c r="AA21" s="36"/>
      <c r="AB21" s="36"/>
      <c r="AC21" s="36"/>
      <c r="AD21" s="36"/>
      <c r="AE21" s="37"/>
      <c r="AF21" s="35"/>
      <c r="AG21" s="36"/>
      <c r="AH21" s="36"/>
      <c r="AI21" s="36"/>
      <c r="AJ21" s="36"/>
      <c r="AK21" s="36"/>
      <c r="AL21" s="36"/>
      <c r="AM21" s="36"/>
      <c r="AN21" s="36"/>
      <c r="AO21" s="36"/>
      <c r="AP21" s="36"/>
      <c r="AQ21" s="37"/>
      <c r="AR21" s="35"/>
      <c r="AS21" s="36"/>
      <c r="AT21" s="36"/>
      <c r="AU21" s="36"/>
      <c r="AV21" s="36"/>
      <c r="AW21" s="36"/>
      <c r="AX21" s="36"/>
      <c r="AY21" s="36"/>
      <c r="AZ21" s="36"/>
      <c r="BA21" s="36"/>
      <c r="BB21" s="36"/>
      <c r="BC21" s="37"/>
      <c r="BD21" s="35">
        <v>11.8774</v>
      </c>
      <c r="BE21" s="36">
        <v>12.1267</v>
      </c>
      <c r="BF21" s="36">
        <v>12.3279</v>
      </c>
      <c r="BG21" s="36">
        <v>11.8187</v>
      </c>
      <c r="BH21" s="36">
        <v>11.517200000000001</v>
      </c>
      <c r="BI21" s="36">
        <v>12.253</v>
      </c>
      <c r="BJ21" s="36">
        <v>12.9931</v>
      </c>
      <c r="BK21" s="36">
        <v>12.9618</v>
      </c>
      <c r="BL21" s="36">
        <v>12.231999999999999</v>
      </c>
      <c r="BM21" s="36">
        <v>11.959199999999999</v>
      </c>
      <c r="BN21" s="36">
        <v>12.1142</v>
      </c>
      <c r="BO21" s="37">
        <v>13.056800000000001</v>
      </c>
      <c r="BP21" s="35">
        <v>12.952199999999999</v>
      </c>
      <c r="BQ21" s="36">
        <v>14.4237</v>
      </c>
      <c r="BR21" s="47">
        <v>14.311</v>
      </c>
      <c r="BS21" s="36">
        <v>11.8207</v>
      </c>
      <c r="BT21" s="36">
        <v>10.1432</v>
      </c>
      <c r="BU21" s="36">
        <f>11.5006-0.6393-0.0766-0.0814-0.1464-0.0108</f>
        <v>10.546100000000001</v>
      </c>
      <c r="BV21" s="36">
        <f>12.3075-0.6343-0.0763-0.1429-0.0106</f>
        <v>11.4434</v>
      </c>
      <c r="BW21" s="36">
        <v>11.7607</v>
      </c>
      <c r="BX21" s="36">
        <v>10.9589</v>
      </c>
      <c r="BY21" s="36">
        <v>10.645899999999999</v>
      </c>
      <c r="BZ21" s="36">
        <v>10.5139</v>
      </c>
      <c r="CA21" s="38">
        <v>10.523199999999999</v>
      </c>
      <c r="CB21" s="52">
        <v>11.4857</v>
      </c>
      <c r="CC21" s="51">
        <v>11.875500000000001</v>
      </c>
      <c r="CD21" s="45">
        <v>12.240399999999999</v>
      </c>
      <c r="CE21" s="36">
        <v>11.5657</v>
      </c>
      <c r="CF21" s="45">
        <v>11.012600000000001</v>
      </c>
      <c r="CG21" s="36">
        <v>10.3531</v>
      </c>
      <c r="CH21" s="36">
        <v>7.7755999999999998</v>
      </c>
      <c r="CI21" s="45">
        <v>10.0116</v>
      </c>
      <c r="CJ21" s="36">
        <v>9.7036999999999995</v>
      </c>
      <c r="CK21" s="45">
        <v>9.6103000000000005</v>
      </c>
      <c r="CL21" s="45">
        <v>10.057</v>
      </c>
      <c r="CM21" s="50">
        <v>10.554500000000001</v>
      </c>
      <c r="CN21" s="53">
        <v>11.2119</v>
      </c>
      <c r="CO21" s="53">
        <v>11.5436</v>
      </c>
      <c r="CP21" s="53">
        <v>11.7036</v>
      </c>
      <c r="CQ21" s="53"/>
      <c r="CR21" s="53"/>
      <c r="CS21" s="53"/>
      <c r="CT21" s="53"/>
      <c r="CU21" s="53"/>
      <c r="CV21" s="53"/>
      <c r="CW21" s="53"/>
      <c r="CX21" s="53"/>
      <c r="CY21" s="53"/>
    </row>
    <row r="22" spans="1:103" ht="45" customHeight="1">
      <c r="A22" s="39">
        <v>39</v>
      </c>
      <c r="B22" s="40" t="s">
        <v>126</v>
      </c>
      <c r="C22" s="41" t="s">
        <v>127</v>
      </c>
      <c r="D22" s="41" t="s">
        <v>107</v>
      </c>
      <c r="E22" s="41" t="s">
        <v>117</v>
      </c>
      <c r="F22" s="41" t="s">
        <v>118</v>
      </c>
      <c r="G22" s="42" t="s">
        <v>110</v>
      </c>
      <c r="H22" s="35"/>
      <c r="I22" s="36"/>
      <c r="J22" s="36"/>
      <c r="K22" s="36"/>
      <c r="L22" s="36"/>
      <c r="M22" s="36"/>
      <c r="N22" s="36"/>
      <c r="O22" s="36"/>
      <c r="P22" s="36"/>
      <c r="Q22" s="36"/>
      <c r="R22" s="36"/>
      <c r="S22" s="37"/>
      <c r="T22" s="35"/>
      <c r="U22" s="36"/>
      <c r="V22" s="36"/>
      <c r="W22" s="36"/>
      <c r="X22" s="36"/>
      <c r="Y22" s="36"/>
      <c r="Z22" s="36"/>
      <c r="AA22" s="36"/>
      <c r="AB22" s="36"/>
      <c r="AC22" s="36"/>
      <c r="AD22" s="36"/>
      <c r="AE22" s="37"/>
      <c r="AF22" s="35"/>
      <c r="AG22" s="36"/>
      <c r="AH22" s="36"/>
      <c r="AI22" s="36"/>
      <c r="AJ22" s="36"/>
      <c r="AK22" s="36"/>
      <c r="AL22" s="36"/>
      <c r="AM22" s="36"/>
      <c r="AN22" s="36"/>
      <c r="AO22" s="36"/>
      <c r="AP22" s="36"/>
      <c r="AQ22" s="37"/>
      <c r="AR22" s="35"/>
      <c r="AS22" s="36"/>
      <c r="AT22" s="36"/>
      <c r="AU22" s="36"/>
      <c r="AV22" s="36"/>
      <c r="AW22" s="36"/>
      <c r="AX22" s="36"/>
      <c r="AY22" s="36"/>
      <c r="AZ22" s="36"/>
      <c r="BA22" s="36"/>
      <c r="BB22" s="36"/>
      <c r="BC22" s="37"/>
      <c r="BD22" s="35">
        <v>12.1029</v>
      </c>
      <c r="BE22" s="36">
        <v>12.037699999999999</v>
      </c>
      <c r="BF22" s="36">
        <v>13.0809</v>
      </c>
      <c r="BG22" s="36"/>
      <c r="BH22" s="36"/>
      <c r="BI22" s="36">
        <v>13.4293</v>
      </c>
      <c r="BJ22" s="36">
        <v>14.527900000000001</v>
      </c>
      <c r="BK22" s="36">
        <v>14.4016</v>
      </c>
      <c r="BL22" s="36">
        <v>16.172000000000001</v>
      </c>
      <c r="BM22" s="36">
        <v>15.0009</v>
      </c>
      <c r="BN22" s="36">
        <v>14.6143</v>
      </c>
      <c r="BO22" s="37">
        <v>15.2437</v>
      </c>
      <c r="BP22" s="35">
        <f>14.1013-1.1429</f>
        <v>12.958400000000001</v>
      </c>
      <c r="BQ22" s="36">
        <v>10.979900000000001</v>
      </c>
      <c r="BR22" s="36">
        <v>14.4312</v>
      </c>
      <c r="BS22" s="36">
        <f>13.1276-1.1859</f>
        <v>11.941699999999999</v>
      </c>
      <c r="BT22" s="36">
        <f>13.4134-1.2441</f>
        <v>12.1693</v>
      </c>
      <c r="BU22" s="36">
        <f>7.8295+0.6578+0.7174+0.2661+0.4004+2.075+0.0018+0.0126</f>
        <v>11.960600000000001</v>
      </c>
      <c r="BV22" s="36">
        <v>13.11</v>
      </c>
      <c r="BW22" s="36">
        <f>7.1841+0.7392+0.7349+0.12424+0.2661+0.015+0.0037+0.4004+2.075</f>
        <v>11.542640000000002</v>
      </c>
      <c r="BX22" s="36">
        <v>11.129899999999999</v>
      </c>
      <c r="BY22" s="36">
        <v>12.750999999999999</v>
      </c>
      <c r="BZ22" s="36">
        <f>7.7014+0.9601+0.8277+0.4466+0.0024+0.0155+0.4004+2.075+1.4778</f>
        <v>13.906899999999998</v>
      </c>
      <c r="CA22" s="38">
        <v>12.5487</v>
      </c>
      <c r="CB22" s="35">
        <v>12.5487</v>
      </c>
      <c r="CC22" s="36">
        <v>12.5487</v>
      </c>
      <c r="CD22" s="36">
        <v>10.136200000000001</v>
      </c>
      <c r="CE22" s="36">
        <v>12.3392</v>
      </c>
      <c r="CF22" s="45">
        <v>13.036099999999999</v>
      </c>
      <c r="CG22" s="36">
        <v>11.998100000000001</v>
      </c>
      <c r="CH22" s="36">
        <v>13.015700000000001</v>
      </c>
      <c r="CI22" s="36">
        <v>13.911300000000001</v>
      </c>
      <c r="CJ22" s="36">
        <v>12.6219</v>
      </c>
      <c r="CK22" s="36"/>
      <c r="CL22" s="36"/>
      <c r="CM22" s="38"/>
      <c r="CN22" s="36"/>
      <c r="CO22" s="36"/>
      <c r="CP22" s="36">
        <v>10.371499999999999</v>
      </c>
      <c r="CQ22" s="36"/>
      <c r="CR22" s="36"/>
      <c r="CS22" s="36"/>
      <c r="CT22" s="36"/>
      <c r="CU22" s="36"/>
      <c r="CV22" s="36"/>
      <c r="CW22" s="36"/>
      <c r="CX22" s="36"/>
      <c r="CY22" s="36"/>
    </row>
    <row r="23" spans="1:103" ht="45" customHeight="1">
      <c r="A23" s="39">
        <v>61</v>
      </c>
      <c r="B23" s="40" t="s">
        <v>128</v>
      </c>
      <c r="C23" s="41" t="s">
        <v>129</v>
      </c>
      <c r="D23" s="41" t="s">
        <v>107</v>
      </c>
      <c r="E23" s="41" t="s">
        <v>124</v>
      </c>
      <c r="F23" s="41" t="s">
        <v>125</v>
      </c>
      <c r="G23" s="42" t="s">
        <v>110</v>
      </c>
      <c r="H23" s="35"/>
      <c r="I23" s="36"/>
      <c r="J23" s="36"/>
      <c r="K23" s="36"/>
      <c r="L23" s="36"/>
      <c r="M23" s="36"/>
      <c r="N23" s="36"/>
      <c r="O23" s="36"/>
      <c r="P23" s="36"/>
      <c r="Q23" s="36"/>
      <c r="R23" s="36"/>
      <c r="S23" s="37"/>
      <c r="T23" s="35"/>
      <c r="U23" s="36"/>
      <c r="V23" s="36"/>
      <c r="W23" s="36"/>
      <c r="X23" s="36"/>
      <c r="Y23" s="36"/>
      <c r="Z23" s="36"/>
      <c r="AA23" s="36"/>
      <c r="AB23" s="36"/>
      <c r="AC23" s="36"/>
      <c r="AD23" s="36"/>
      <c r="AE23" s="37"/>
      <c r="AF23" s="35"/>
      <c r="AG23" s="36"/>
      <c r="AH23" s="36"/>
      <c r="AI23" s="36"/>
      <c r="AJ23" s="36"/>
      <c r="AK23" s="36"/>
      <c r="AL23" s="36"/>
      <c r="AM23" s="36"/>
      <c r="AN23" s="36"/>
      <c r="AO23" s="36"/>
      <c r="AP23" s="36"/>
      <c r="AQ23" s="37"/>
      <c r="AR23" s="35">
        <v>10.735200000000001</v>
      </c>
      <c r="AS23" s="36">
        <v>11.488</v>
      </c>
      <c r="AT23" s="36">
        <v>11.5395</v>
      </c>
      <c r="AU23" s="36">
        <v>11.4907</v>
      </c>
      <c r="AV23" s="36">
        <v>11.0543</v>
      </c>
      <c r="AW23" s="36">
        <v>10.742599999999999</v>
      </c>
      <c r="AX23" s="36">
        <v>10.9419</v>
      </c>
      <c r="AY23" s="36">
        <v>11.6526</v>
      </c>
      <c r="AZ23" s="36">
        <v>11.6624</v>
      </c>
      <c r="BA23" s="36">
        <v>12.341100000000001</v>
      </c>
      <c r="BB23" s="36">
        <v>12.456300000000001</v>
      </c>
      <c r="BC23" s="37">
        <v>12.458399999999999</v>
      </c>
      <c r="BD23" s="35">
        <v>12.5144</v>
      </c>
      <c r="BE23" s="36">
        <v>12.47</v>
      </c>
      <c r="BF23" s="36">
        <v>12.410399999999999</v>
      </c>
      <c r="BG23" s="36">
        <v>12.2014</v>
      </c>
      <c r="BH23" s="36">
        <v>12.260199999999999</v>
      </c>
      <c r="BI23" s="36">
        <v>14.2563</v>
      </c>
      <c r="BJ23" s="36">
        <v>15.8781</v>
      </c>
      <c r="BK23" s="36">
        <v>18.168199999999999</v>
      </c>
      <c r="BL23" s="36">
        <v>18.391100000000002</v>
      </c>
      <c r="BM23" s="36">
        <v>18.307099999999998</v>
      </c>
      <c r="BN23" s="36">
        <v>18.729500000000002</v>
      </c>
      <c r="BO23" s="37"/>
      <c r="BP23" s="35">
        <v>15.5929</v>
      </c>
      <c r="BQ23" s="36">
        <v>15.94</v>
      </c>
      <c r="BR23" s="36">
        <v>13.325900000000001</v>
      </c>
      <c r="BS23" s="36">
        <v>11.860900000000001</v>
      </c>
      <c r="BT23" s="36">
        <v>11.9779</v>
      </c>
      <c r="BU23" s="36">
        <f>10.6291+0.0282+0.8336+0.5143+1.2768+0.5828+0.3669+0.3+0.2216+0.0017+0.0428+0.17+0.0006-0.0088</f>
        <v>14.9596</v>
      </c>
      <c r="BV23" s="36">
        <f>9.4946+0.8419+0.5143+1.1744+0.5828+0.3669+0.3+0.2216+0.0017+0.0428+0.1549+0.0005-0.009</f>
        <v>13.687400000000002</v>
      </c>
      <c r="BW23" s="36">
        <f>7.0722+0.0282+0.942+0.5143+0.9201+0.5828+0.3669+0.3+0.2216+0.0017+0.0428+0.1517+0.0006-0.0089</f>
        <v>11.135999999999999</v>
      </c>
      <c r="BX23" s="36">
        <f>7.4033+0.0282+0.7915+0.5143+0.9384+0.5828+0.3669+0.3+0.2216+0.0017+0.0428+0.1095+0.0005-0.0088</f>
        <v>11.2927</v>
      </c>
      <c r="BY23" s="36">
        <f>7.3052+0.0282+0.7498+0.5143+0.9046+0.5828+0.3669+0.3+0.2477+0.0017+0.0428+0.0583+0.0003-0.0081</f>
        <v>11.094499999999998</v>
      </c>
      <c r="BZ23" s="36">
        <f>6.8597+0.02828+0.7688+0.5143+0.8469+0.5828+0.3669+0.3+0.2477+0.0017+0.0428+0.1091+0.0008-0.0314</f>
        <v>10.63838</v>
      </c>
      <c r="CA23" s="38">
        <f>5.9554+0.0282+0.8148+0.5143+0.7554+0.5828+0.3669+0.3+0.2417+0.0017+0.0428+0.1018+0.0008-0.0545</f>
        <v>9.652099999999999</v>
      </c>
      <c r="CB23" s="35">
        <v>10.121700000000001</v>
      </c>
      <c r="CC23" s="36">
        <v>9.6710000000000012</v>
      </c>
      <c r="CD23" s="36">
        <v>9.5256200000000018</v>
      </c>
      <c r="CE23" s="36">
        <v>10.7446</v>
      </c>
      <c r="CF23" s="36">
        <v>11.012600000000001</v>
      </c>
      <c r="CG23" s="36">
        <f>5.2889+0.0282+0.8426+0.5146+0.6197+0.5828+0.3669+0.3+0.2238+0.0017+0.0428+0.0025+0.001-0.0579+0.0364</f>
        <v>8.7939999999999987</v>
      </c>
      <c r="CH23" s="36">
        <f>6.5724+0.0282+0.8645+0.5143+0.7495+0.5828+0.3669+0.3+0.2238+0.0017+0.0428+0.0022+0.0008-0.0662+0.0364</f>
        <v>10.2201</v>
      </c>
      <c r="CI23" s="36">
        <f>6.8869+0.0282+0.8958+0.5143+0.7671+0.5828+0.3669+0.3+0.1805+0.0017+0.0428+0.0027+0.0009-0.0646+0.0838</f>
        <v>10.5898</v>
      </c>
      <c r="CJ23" s="36">
        <f>5.824+0.0282+0.9172+0.5143+0.6594+0.5828+0.3669+0.3+0.1805+0.0017+0.0428+0.0026+0.0009-0.0751+0.0838</f>
        <v>9.4299999999999979</v>
      </c>
      <c r="CK23" s="36">
        <f>5.4208+0.0282+0.8941+0.5143+0.6236+0.5828+0.3669+0.3+0.1805+0.0017+0.0428+0.0025+0.0007-0.0753+0.0838</f>
        <v>8.9673999999999996</v>
      </c>
      <c r="CL23" s="36">
        <f>6.0485+0.0282+0.9778+0.5143+0.6646+0.5828+0.3669+0.3+0.1805+0.0017+0.0428+0.002+0.0006-0.0717+0.0838</f>
        <v>9.7228000000000012</v>
      </c>
      <c r="CM23" s="38">
        <f>6.0485+0.0282+0.9778+0.5143+0.6646+0.5828+0.3669+0.3+0.1805+0.0017+0.0428+0.002+0.0006-0.0717+0.0838</f>
        <v>9.7228000000000012</v>
      </c>
      <c r="CN23" s="54"/>
      <c r="CO23" s="54"/>
      <c r="CP23" s="54"/>
      <c r="CQ23" s="54"/>
      <c r="CR23" s="54"/>
      <c r="CS23" s="54"/>
      <c r="CT23" s="54"/>
      <c r="CU23" s="54"/>
      <c r="CV23" s="54"/>
      <c r="CW23" s="54"/>
      <c r="CX23" s="54"/>
      <c r="CY23" s="54"/>
    </row>
    <row r="24" spans="1:103" ht="45" customHeight="1">
      <c r="A24" s="39">
        <v>29</v>
      </c>
      <c r="B24" s="40" t="s">
        <v>130</v>
      </c>
      <c r="C24" s="41" t="s">
        <v>131</v>
      </c>
      <c r="D24" s="41" t="s">
        <v>107</v>
      </c>
      <c r="E24" s="41" t="s">
        <v>113</v>
      </c>
      <c r="F24" s="41" t="s">
        <v>109</v>
      </c>
      <c r="G24" s="42" t="s">
        <v>110</v>
      </c>
      <c r="H24" s="35"/>
      <c r="I24" s="36"/>
      <c r="J24" s="36"/>
      <c r="K24" s="36"/>
      <c r="L24" s="36"/>
      <c r="M24" s="36"/>
      <c r="N24" s="36"/>
      <c r="O24" s="36"/>
      <c r="P24" s="36"/>
      <c r="Q24" s="36"/>
      <c r="R24" s="36"/>
      <c r="S24" s="37"/>
      <c r="T24" s="35"/>
      <c r="U24" s="36"/>
      <c r="V24" s="36"/>
      <c r="W24" s="36"/>
      <c r="X24" s="36"/>
      <c r="Y24" s="36"/>
      <c r="Z24" s="36"/>
      <c r="AA24" s="36"/>
      <c r="AB24" s="36"/>
      <c r="AC24" s="36"/>
      <c r="AD24" s="36"/>
      <c r="AE24" s="37"/>
      <c r="AF24" s="35"/>
      <c r="AG24" s="36"/>
      <c r="AH24" s="36"/>
      <c r="AI24" s="36"/>
      <c r="AJ24" s="36"/>
      <c r="AK24" s="36"/>
      <c r="AL24" s="36"/>
      <c r="AM24" s="36"/>
      <c r="AN24" s="36"/>
      <c r="AO24" s="36"/>
      <c r="AP24" s="36"/>
      <c r="AQ24" s="37"/>
      <c r="AR24" s="35"/>
      <c r="AS24" s="36"/>
      <c r="AT24" s="36"/>
      <c r="AU24" s="36"/>
      <c r="AV24" s="36"/>
      <c r="AW24" s="36"/>
      <c r="AX24" s="36"/>
      <c r="AY24" s="36"/>
      <c r="AZ24" s="36"/>
      <c r="BA24" s="36"/>
      <c r="BB24" s="36"/>
      <c r="BC24" s="37"/>
      <c r="BD24" s="35"/>
      <c r="BE24" s="36"/>
      <c r="BF24" s="36"/>
      <c r="BG24" s="36"/>
      <c r="BH24" s="36"/>
      <c r="BI24" s="36"/>
      <c r="BJ24" s="36"/>
      <c r="BK24" s="36"/>
      <c r="BL24" s="36"/>
      <c r="BM24" s="36"/>
      <c r="BN24" s="36"/>
      <c r="BO24" s="37"/>
      <c r="BP24" s="35">
        <v>15.2258</v>
      </c>
      <c r="BQ24" s="36">
        <v>15.2013</v>
      </c>
      <c r="BR24" s="36">
        <v>15.367800000000001</v>
      </c>
      <c r="BS24" s="36">
        <v>13.127599999999999</v>
      </c>
      <c r="BT24" s="36">
        <v>17.8017</v>
      </c>
      <c r="BU24" s="36">
        <f>6.8492+0.8514-0.3+1.0557+1.0282+0.5772+0.5324+0.4188+0.0563+0.05+0.0135+0.0043+0.0428+0.2216+0.0017</f>
        <v>11.403100000000002</v>
      </c>
      <c r="BV24" s="36">
        <v>17.674399999999999</v>
      </c>
      <c r="BW24" s="36">
        <v>16.286000000000001</v>
      </c>
      <c r="BX24" s="36">
        <v>14.3391</v>
      </c>
      <c r="BY24" s="36">
        <v>14.976800000000001</v>
      </c>
      <c r="BZ24" s="36">
        <v>11.911099999999999</v>
      </c>
      <c r="CA24" s="38">
        <v>15.4079</v>
      </c>
      <c r="CB24" s="35">
        <v>14.1454</v>
      </c>
      <c r="CC24" s="51">
        <v>15.521800000000001</v>
      </c>
      <c r="CD24" s="36">
        <v>9.2149000000000001</v>
      </c>
      <c r="CE24" s="36">
        <v>15.2866</v>
      </c>
      <c r="CF24" s="36">
        <v>15.402799999999999</v>
      </c>
      <c r="CG24" s="36">
        <v>16.4024</v>
      </c>
      <c r="CH24" s="36">
        <v>16.8079</v>
      </c>
      <c r="CI24" s="36">
        <v>16.324300000000001</v>
      </c>
      <c r="CJ24" s="36">
        <v>16.9071</v>
      </c>
      <c r="CK24" s="36">
        <v>15.078099999999999</v>
      </c>
      <c r="CL24" s="36">
        <v>15.078099999999999</v>
      </c>
      <c r="CM24" s="38">
        <v>15.2235</v>
      </c>
      <c r="CN24" s="36">
        <v>15.1487</v>
      </c>
      <c r="CO24" s="36"/>
      <c r="CP24" s="36"/>
      <c r="CQ24" s="36"/>
      <c r="CR24" s="36"/>
      <c r="CS24" s="36"/>
      <c r="CT24" s="36"/>
      <c r="CU24" s="36"/>
      <c r="CV24" s="36"/>
      <c r="CW24" s="36"/>
      <c r="CX24" s="36"/>
      <c r="CY24" s="36"/>
    </row>
    <row r="25" spans="1:103" ht="45" customHeight="1">
      <c r="A25" s="39">
        <v>89</v>
      </c>
      <c r="B25" s="40" t="s">
        <v>132</v>
      </c>
      <c r="C25" s="41" t="s">
        <v>133</v>
      </c>
      <c r="D25" s="41" t="s">
        <v>134</v>
      </c>
      <c r="E25" s="41" t="s">
        <v>135</v>
      </c>
      <c r="F25" s="41" t="s">
        <v>118</v>
      </c>
      <c r="G25" s="42" t="s">
        <v>110</v>
      </c>
      <c r="H25" s="35">
        <v>10.1852</v>
      </c>
      <c r="I25" s="36">
        <v>9.5188000000000006</v>
      </c>
      <c r="J25" s="36">
        <v>8.1626999999999992</v>
      </c>
      <c r="K25" s="36">
        <v>9.3425999999999991</v>
      </c>
      <c r="L25" s="36">
        <v>9.3009000000000004</v>
      </c>
      <c r="M25" s="36">
        <v>9.1098999999999997</v>
      </c>
      <c r="N25" s="36">
        <v>9.0731000000000002</v>
      </c>
      <c r="O25" s="36">
        <v>9.1372</v>
      </c>
      <c r="P25" s="36">
        <v>9.2426999999999992</v>
      </c>
      <c r="Q25" s="36">
        <v>9.4641000000000002</v>
      </c>
      <c r="R25" s="36">
        <v>9.6464999999999996</v>
      </c>
      <c r="S25" s="37">
        <v>9.1822999999999997</v>
      </c>
      <c r="T25" s="35">
        <v>9.2545000000000002</v>
      </c>
      <c r="U25" s="36">
        <v>9.0416000000000007</v>
      </c>
      <c r="V25" s="36">
        <v>9.0002999999999993</v>
      </c>
      <c r="W25" s="36">
        <v>8.9781999999999993</v>
      </c>
      <c r="X25" s="36">
        <v>8.9705999999999992</v>
      </c>
      <c r="Y25" s="36">
        <v>8.9360999999999997</v>
      </c>
      <c r="Z25" s="36">
        <v>9.3717000000000006</v>
      </c>
      <c r="AA25" s="36">
        <v>9.3848000000000003</v>
      </c>
      <c r="AB25" s="36">
        <v>9.8213000000000008</v>
      </c>
      <c r="AC25" s="36">
        <v>9.2417999999999996</v>
      </c>
      <c r="AD25" s="36">
        <v>9.1875</v>
      </c>
      <c r="AE25" s="37">
        <v>8.1577000000000002</v>
      </c>
      <c r="AF25" s="35">
        <v>9.1585000000000001</v>
      </c>
      <c r="AG25" s="36">
        <v>9.0416000000000007</v>
      </c>
      <c r="AH25" s="36">
        <v>9.0002999999999993</v>
      </c>
      <c r="AI25" s="36">
        <v>8.9781999999999993</v>
      </c>
      <c r="AJ25" s="36">
        <v>8.9705999999999992</v>
      </c>
      <c r="AK25" s="36">
        <v>8.9360999999999997</v>
      </c>
      <c r="AL25" s="36">
        <v>8.9420999999999999</v>
      </c>
      <c r="AM25" s="36">
        <v>8.9482999999999997</v>
      </c>
      <c r="AN25" s="36">
        <v>8.9482999999999997</v>
      </c>
      <c r="AO25" s="36">
        <v>8.9559999999999995</v>
      </c>
      <c r="AP25" s="36">
        <v>8.9413</v>
      </c>
      <c r="AQ25" s="37">
        <v>8.9496000000000002</v>
      </c>
      <c r="AR25" s="35">
        <v>8.9550000000000001</v>
      </c>
      <c r="AS25" s="36">
        <v>8.9464000000000006</v>
      </c>
      <c r="AT25" s="36">
        <v>8.9441000000000006</v>
      </c>
      <c r="AU25" s="36">
        <v>8.9898000000000007</v>
      </c>
      <c r="AV25" s="36">
        <v>8.9490999999999996</v>
      </c>
      <c r="AW25" s="36">
        <v>8.9490999999999996</v>
      </c>
      <c r="AX25" s="36">
        <v>8.9490999999999996</v>
      </c>
      <c r="AY25" s="36">
        <v>8.9673999999999996</v>
      </c>
      <c r="AZ25" s="36">
        <v>8.9606999999999992</v>
      </c>
      <c r="BA25" s="36">
        <v>8.9413</v>
      </c>
      <c r="BB25" s="36">
        <v>8.9650999999999996</v>
      </c>
      <c r="BC25" s="37">
        <v>8.9727999999999994</v>
      </c>
      <c r="BD25" s="35">
        <v>8.9716000000000005</v>
      </c>
      <c r="BE25" s="36">
        <v>8.9911999999999992</v>
      </c>
      <c r="BF25" s="36">
        <v>8.9961000000000002</v>
      </c>
      <c r="BG25" s="36">
        <v>9.0053999999999998</v>
      </c>
      <c r="BH25" s="36">
        <v>9.9077999999999999</v>
      </c>
      <c r="BI25" s="36">
        <v>10.581899999999999</v>
      </c>
      <c r="BJ25" s="36">
        <v>9.8045000000000009</v>
      </c>
      <c r="BK25" s="36">
        <v>9.8101000000000003</v>
      </c>
      <c r="BL25" s="36">
        <v>9.8213000000000008</v>
      </c>
      <c r="BM25" s="36">
        <v>9.8343000000000007</v>
      </c>
      <c r="BN25" s="36">
        <v>9.8408999999999995</v>
      </c>
      <c r="BO25" s="37">
        <v>9.8317999999999994</v>
      </c>
      <c r="BP25" s="35">
        <v>9.8322000000000003</v>
      </c>
      <c r="BQ25" s="36">
        <v>9.8154000000000003</v>
      </c>
      <c r="BR25" s="47">
        <v>9.8126999999999995</v>
      </c>
      <c r="BS25" s="36">
        <v>10.536199999999999</v>
      </c>
      <c r="BT25" s="36">
        <v>10.5322</v>
      </c>
      <c r="BU25" s="36">
        <v>10.559699999999999</v>
      </c>
      <c r="BV25" s="36">
        <v>10.5732</v>
      </c>
      <c r="BW25" s="36">
        <v>10.577400000000001</v>
      </c>
      <c r="BX25" s="36">
        <v>10.537100000000001</v>
      </c>
      <c r="BY25" s="36">
        <v>10.548500000000001</v>
      </c>
      <c r="BZ25" s="36">
        <v>10.5802</v>
      </c>
      <c r="CA25" s="38">
        <v>11.033899999999999</v>
      </c>
      <c r="CB25" s="43">
        <v>10.5761</v>
      </c>
      <c r="CC25" s="51">
        <v>10.5884</v>
      </c>
      <c r="CD25" s="49">
        <v>10.577199999999999</v>
      </c>
      <c r="CE25" s="45">
        <v>11.138</v>
      </c>
      <c r="CF25" s="44">
        <v>11.1035</v>
      </c>
      <c r="CG25" s="44">
        <v>11.102499999999999</v>
      </c>
      <c r="CH25" s="44">
        <v>11.091100000000001</v>
      </c>
      <c r="CI25" s="44">
        <v>11.039300000000001</v>
      </c>
      <c r="CJ25" s="44">
        <v>11.020200000000001</v>
      </c>
      <c r="CK25" s="44">
        <v>11.0229</v>
      </c>
      <c r="CL25" s="44">
        <v>11.014200000000001</v>
      </c>
      <c r="CM25" s="46">
        <v>11.0091</v>
      </c>
      <c r="CN25" s="44">
        <v>11.0082</v>
      </c>
      <c r="CO25" s="44">
        <v>11.0162</v>
      </c>
      <c r="CP25" s="44">
        <v>11.0106</v>
      </c>
      <c r="CQ25" s="44">
        <v>11.019299999999999</v>
      </c>
      <c r="CR25" s="44"/>
      <c r="CS25" s="44"/>
      <c r="CT25" s="44"/>
      <c r="CU25" s="44"/>
      <c r="CV25" s="44"/>
      <c r="CW25" s="44"/>
      <c r="CX25" s="44"/>
      <c r="CY25" s="44"/>
    </row>
    <row r="26" spans="1:103" ht="45" customHeight="1">
      <c r="A26" s="39">
        <v>10</v>
      </c>
      <c r="B26" s="40" t="s">
        <v>136</v>
      </c>
      <c r="C26" s="41" t="s">
        <v>137</v>
      </c>
      <c r="D26" s="41" t="s">
        <v>134</v>
      </c>
      <c r="E26" s="41" t="s">
        <v>138</v>
      </c>
      <c r="F26" s="41" t="s">
        <v>125</v>
      </c>
      <c r="G26" s="42" t="s">
        <v>110</v>
      </c>
      <c r="H26" s="35">
        <v>8.8699999999999992</v>
      </c>
      <c r="I26" s="36">
        <v>9.01</v>
      </c>
      <c r="J26" s="36">
        <v>8.8800000000000008</v>
      </c>
      <c r="K26" s="36">
        <v>8.9499999999999993</v>
      </c>
      <c r="L26" s="36">
        <v>8.98</v>
      </c>
      <c r="M26" s="36">
        <v>8.94</v>
      </c>
      <c r="N26" s="36">
        <v>9.06</v>
      </c>
      <c r="O26" s="36">
        <v>8.9600000000000009</v>
      </c>
      <c r="P26" s="36">
        <v>8.8699999999999992</v>
      </c>
      <c r="Q26" s="36">
        <v>8.91</v>
      </c>
      <c r="R26" s="36">
        <v>8.89</v>
      </c>
      <c r="S26" s="37">
        <v>8.93</v>
      </c>
      <c r="T26" s="35">
        <v>8.82</v>
      </c>
      <c r="U26" s="36">
        <v>8.82</v>
      </c>
      <c r="V26" s="36">
        <v>8.7899999999999991</v>
      </c>
      <c r="W26" s="36">
        <v>8.67</v>
      </c>
      <c r="X26" s="36">
        <v>8.66</v>
      </c>
      <c r="Y26" s="36">
        <v>8.68</v>
      </c>
      <c r="Z26" s="36">
        <v>8.7799999999999994</v>
      </c>
      <c r="AA26" s="36">
        <v>8.75</v>
      </c>
      <c r="AB26" s="36">
        <v>8.73</v>
      </c>
      <c r="AC26" s="36">
        <v>8.73</v>
      </c>
      <c r="AD26" s="36">
        <v>8.69</v>
      </c>
      <c r="AE26" s="37">
        <v>8.6199999999999992</v>
      </c>
      <c r="AF26" s="35">
        <v>8.6199999999999992</v>
      </c>
      <c r="AG26" s="36">
        <v>9.6</v>
      </c>
      <c r="AH26" s="36">
        <v>9.5299999999999994</v>
      </c>
      <c r="AI26" s="36">
        <v>9.58</v>
      </c>
      <c r="AJ26" s="36">
        <v>9.61</v>
      </c>
      <c r="AK26" s="36">
        <v>9.64</v>
      </c>
      <c r="AL26" s="36">
        <v>9.6</v>
      </c>
      <c r="AM26" s="36">
        <v>9.5399999999999991</v>
      </c>
      <c r="AN26" s="36">
        <v>9.58</v>
      </c>
      <c r="AO26" s="36">
        <v>9.5399999999999991</v>
      </c>
      <c r="AP26" s="36">
        <v>9.52</v>
      </c>
      <c r="AQ26" s="37">
        <v>9.5299999999999994</v>
      </c>
      <c r="AR26" s="35">
        <v>9.5500000000000007</v>
      </c>
      <c r="AS26" s="36">
        <v>9.56</v>
      </c>
      <c r="AT26" s="36">
        <v>9.5399999999999991</v>
      </c>
      <c r="AU26" s="36">
        <v>9.52</v>
      </c>
      <c r="AV26" s="36">
        <v>9.59</v>
      </c>
      <c r="AW26" s="36">
        <v>9.64</v>
      </c>
      <c r="AX26" s="36">
        <v>9.64</v>
      </c>
      <c r="AY26" s="36">
        <v>9.6199999999999992</v>
      </c>
      <c r="AZ26" s="36">
        <v>9.56</v>
      </c>
      <c r="BA26" s="36">
        <v>10.220000000000001</v>
      </c>
      <c r="BB26" s="36">
        <v>10.15</v>
      </c>
      <c r="BC26" s="37">
        <v>10.130000000000001</v>
      </c>
      <c r="BD26" s="35">
        <v>10.17</v>
      </c>
      <c r="BE26" s="36">
        <v>10.14</v>
      </c>
      <c r="BF26" s="36">
        <v>10.16</v>
      </c>
      <c r="BG26" s="36">
        <v>11.04</v>
      </c>
      <c r="BH26" s="36">
        <v>11.01</v>
      </c>
      <c r="BI26" s="36">
        <v>11.01</v>
      </c>
      <c r="BJ26" s="36">
        <v>10.98</v>
      </c>
      <c r="BK26" s="36">
        <v>10.99</v>
      </c>
      <c r="BL26" s="36">
        <v>11.02</v>
      </c>
      <c r="BM26" s="36">
        <v>11.03</v>
      </c>
      <c r="BN26" s="36">
        <v>11.08</v>
      </c>
      <c r="BO26" s="37">
        <v>11.04</v>
      </c>
      <c r="BP26" s="35">
        <v>10.9565</v>
      </c>
      <c r="BQ26" s="36">
        <v>11.069100000000001</v>
      </c>
      <c r="BR26" s="36">
        <v>16.18</v>
      </c>
      <c r="BS26" s="36">
        <v>10.6381</v>
      </c>
      <c r="BT26" s="36">
        <v>10.614699999999999</v>
      </c>
      <c r="BU26" s="36">
        <v>12.1357</v>
      </c>
      <c r="BV26" s="36">
        <v>12.0534</v>
      </c>
      <c r="BW26" s="36">
        <v>12.0421</v>
      </c>
      <c r="BX26" s="36">
        <v>12.0457</v>
      </c>
      <c r="BY26" s="36">
        <v>12.0739</v>
      </c>
      <c r="BZ26" s="36">
        <v>12.160600000000001</v>
      </c>
      <c r="CA26" s="38">
        <v>10.63645</v>
      </c>
      <c r="CB26" s="35">
        <v>10.640370000000001</v>
      </c>
      <c r="CC26" s="36">
        <v>12.0366</v>
      </c>
      <c r="CD26" s="36">
        <v>12.0861</v>
      </c>
      <c r="CE26" s="36">
        <v>12.7765</v>
      </c>
      <c r="CF26" s="36"/>
      <c r="CG26" s="36">
        <v>12.828200000000001</v>
      </c>
      <c r="CH26" s="36"/>
      <c r="CI26" s="36"/>
      <c r="CJ26" s="36"/>
      <c r="CK26" s="36"/>
      <c r="CL26" s="36">
        <v>12.7342</v>
      </c>
      <c r="CM26" s="38"/>
      <c r="CN26" s="54">
        <v>12.7849</v>
      </c>
      <c r="CO26" s="54"/>
      <c r="CP26" s="54"/>
      <c r="CQ26" s="54"/>
      <c r="CR26" s="54"/>
      <c r="CS26" s="54"/>
      <c r="CT26" s="54"/>
      <c r="CU26" s="54"/>
      <c r="CV26" s="54"/>
      <c r="CW26" s="54"/>
      <c r="CX26" s="54"/>
      <c r="CY26" s="54"/>
    </row>
    <row r="27" spans="1:103" ht="45" customHeight="1">
      <c r="A27" s="39">
        <v>57</v>
      </c>
      <c r="B27" s="40" t="s">
        <v>139</v>
      </c>
      <c r="C27" s="41" t="s">
        <v>140</v>
      </c>
      <c r="D27" s="41" t="s">
        <v>134</v>
      </c>
      <c r="E27" s="41" t="s">
        <v>141</v>
      </c>
      <c r="F27" s="41" t="s">
        <v>109</v>
      </c>
      <c r="G27" s="42" t="s">
        <v>110</v>
      </c>
      <c r="H27" s="35">
        <v>10.610200000000001</v>
      </c>
      <c r="I27" s="36">
        <v>10.757099999999999</v>
      </c>
      <c r="J27" s="36">
        <v>9.6605000000000008</v>
      </c>
      <c r="K27" s="36">
        <v>9.3552</v>
      </c>
      <c r="L27" s="36">
        <v>9.1617999999999995</v>
      </c>
      <c r="M27" s="36">
        <v>9.1094000000000008</v>
      </c>
      <c r="N27" s="36">
        <v>9.0155999999999992</v>
      </c>
      <c r="O27" s="36">
        <v>10.001799999999999</v>
      </c>
      <c r="P27" s="36">
        <v>10.025</v>
      </c>
      <c r="Q27" s="36">
        <v>9.3125999999999998</v>
      </c>
      <c r="R27" s="36">
        <v>10.005000000000001</v>
      </c>
      <c r="S27" s="37">
        <v>9.6814</v>
      </c>
      <c r="T27" s="35">
        <v>8.8787000000000003</v>
      </c>
      <c r="U27" s="36">
        <v>9.8516999999999992</v>
      </c>
      <c r="V27" s="36">
        <v>9.7126999999999999</v>
      </c>
      <c r="W27" s="36">
        <v>9.7620000000000005</v>
      </c>
      <c r="X27" s="36">
        <v>9.7048000000000005</v>
      </c>
      <c r="Y27" s="36">
        <v>9.7861999999999991</v>
      </c>
      <c r="Z27" s="36">
        <v>9.7579999999999991</v>
      </c>
      <c r="AA27" s="36">
        <v>9.7365999999999993</v>
      </c>
      <c r="AB27" s="36">
        <v>9.7897999999999996</v>
      </c>
      <c r="AC27" s="36">
        <v>9.7697000000000003</v>
      </c>
      <c r="AD27" s="36">
        <v>9.7752999999999997</v>
      </c>
      <c r="AE27" s="37">
        <v>9.7509999999999994</v>
      </c>
      <c r="AF27" s="35">
        <v>9.9684000000000008</v>
      </c>
      <c r="AG27" s="36">
        <v>9.8087999999999997</v>
      </c>
      <c r="AH27" s="36">
        <v>10.027200000000001</v>
      </c>
      <c r="AI27" s="36">
        <v>9.7334999999999994</v>
      </c>
      <c r="AJ27" s="36">
        <v>9.766</v>
      </c>
      <c r="AK27" s="36">
        <v>9.7875999999999994</v>
      </c>
      <c r="AL27" s="36">
        <v>9.7677999999999994</v>
      </c>
      <c r="AM27" s="36">
        <v>9.7208000000000006</v>
      </c>
      <c r="AN27" s="36">
        <v>9.7949000000000002</v>
      </c>
      <c r="AO27" s="36">
        <v>9.8261000000000003</v>
      </c>
      <c r="AP27" s="36">
        <v>9.7422000000000004</v>
      </c>
      <c r="AQ27" s="37">
        <v>9.7248000000000001</v>
      </c>
      <c r="AR27" s="35">
        <v>9.6907999999999994</v>
      </c>
      <c r="AS27" s="36">
        <v>9.6023999999999994</v>
      </c>
      <c r="AT27" s="36">
        <v>9.5536999999999992</v>
      </c>
      <c r="AU27" s="36">
        <v>9.6168999999999993</v>
      </c>
      <c r="AV27" s="36">
        <v>9.6351999999999993</v>
      </c>
      <c r="AW27" s="36">
        <v>9.5998999999999999</v>
      </c>
      <c r="AX27" s="36">
        <v>9.5763999999999996</v>
      </c>
      <c r="AY27" s="36">
        <v>9.4030000000000005</v>
      </c>
      <c r="AZ27" s="36">
        <v>9.2091999999999992</v>
      </c>
      <c r="BA27" s="36">
        <v>9.2885000000000009</v>
      </c>
      <c r="BB27" s="36">
        <v>9.2936999999999994</v>
      </c>
      <c r="BC27" s="37">
        <v>9.3017000000000003</v>
      </c>
      <c r="BD27" s="35">
        <v>9.0357000000000003</v>
      </c>
      <c r="BE27" s="36">
        <v>9.0960999999999999</v>
      </c>
      <c r="BF27" s="36">
        <v>9.9529999999999994</v>
      </c>
      <c r="BG27" s="36">
        <v>9.9441000000000006</v>
      </c>
      <c r="BH27" s="36">
        <v>9.9248999999999992</v>
      </c>
      <c r="BI27" s="36">
        <v>10.0951</v>
      </c>
      <c r="BJ27" s="36">
        <v>10.0495</v>
      </c>
      <c r="BK27" s="36">
        <v>10.364699999999999</v>
      </c>
      <c r="BL27" s="36">
        <v>10.557600000000001</v>
      </c>
      <c r="BM27" s="36">
        <v>10.4129</v>
      </c>
      <c r="BN27" s="36">
        <v>10.446300000000001</v>
      </c>
      <c r="BO27" s="37">
        <v>10.2186</v>
      </c>
      <c r="BP27" s="35">
        <v>10.7209</v>
      </c>
      <c r="BQ27" s="36">
        <v>10.733700000000001</v>
      </c>
      <c r="BR27" s="36">
        <v>11.4216</v>
      </c>
      <c r="BS27" s="36">
        <v>11.910299999999999</v>
      </c>
      <c r="BT27" s="36">
        <v>11.22</v>
      </c>
      <c r="BU27" s="36">
        <v>11.23</v>
      </c>
      <c r="BV27" s="36">
        <v>11.21</v>
      </c>
      <c r="BW27" s="36"/>
      <c r="BX27" s="36">
        <v>11.18</v>
      </c>
      <c r="BY27" s="36">
        <v>11.22</v>
      </c>
      <c r="BZ27" s="36">
        <v>11.21</v>
      </c>
      <c r="CA27" s="38">
        <v>9.9618000000000002</v>
      </c>
      <c r="CB27" s="35">
        <v>9.9708000000000006</v>
      </c>
      <c r="CC27" s="51">
        <v>11.12</v>
      </c>
      <c r="CD27" s="51">
        <v>11.04</v>
      </c>
      <c r="CE27" s="45">
        <v>11.72</v>
      </c>
      <c r="CF27" s="45">
        <v>11.71</v>
      </c>
      <c r="CG27" s="45">
        <v>11.71</v>
      </c>
      <c r="CH27" s="36">
        <v>11.77</v>
      </c>
      <c r="CI27" s="45">
        <v>11.69</v>
      </c>
      <c r="CJ27" s="36">
        <v>11.7</v>
      </c>
      <c r="CK27" s="36"/>
      <c r="CL27" s="36">
        <v>11.66</v>
      </c>
      <c r="CM27" s="38">
        <v>11.7</v>
      </c>
      <c r="CN27" s="36">
        <v>11.76</v>
      </c>
      <c r="CO27" s="36">
        <v>11.75</v>
      </c>
      <c r="CP27" s="36">
        <v>11.74</v>
      </c>
      <c r="CQ27" s="36"/>
      <c r="CR27" s="36"/>
      <c r="CS27" s="36"/>
      <c r="CT27" s="36"/>
      <c r="CU27" s="36"/>
      <c r="CV27" s="36"/>
      <c r="CW27" s="36"/>
      <c r="CX27" s="36"/>
      <c r="CY27" s="36"/>
    </row>
    <row r="28" spans="1:103" ht="45" customHeight="1">
      <c r="A28" s="39">
        <v>44</v>
      </c>
      <c r="B28" s="40" t="s">
        <v>142</v>
      </c>
      <c r="C28" s="41" t="s">
        <v>143</v>
      </c>
      <c r="D28" s="41" t="s">
        <v>107</v>
      </c>
      <c r="E28" s="41" t="s">
        <v>144</v>
      </c>
      <c r="F28" s="41" t="s">
        <v>109</v>
      </c>
      <c r="G28" s="42" t="s">
        <v>110</v>
      </c>
      <c r="H28" s="35">
        <v>7.4432999999999998</v>
      </c>
      <c r="I28" s="36">
        <v>7.6078000000000001</v>
      </c>
      <c r="J28" s="36">
        <v>8.3268000000000004</v>
      </c>
      <c r="K28" s="36">
        <v>8.4733999999999998</v>
      </c>
      <c r="L28" s="36">
        <v>8.0822000000000003</v>
      </c>
      <c r="M28" s="36">
        <v>8.0723000000000003</v>
      </c>
      <c r="N28" s="36">
        <v>8.7708999999999993</v>
      </c>
      <c r="O28" s="36">
        <v>8.7441999999999993</v>
      </c>
      <c r="P28" s="36">
        <v>9.0220000000000002</v>
      </c>
      <c r="Q28" s="36">
        <v>8.8431999999999995</v>
      </c>
      <c r="R28" s="36">
        <v>8.3124000000000002</v>
      </c>
      <c r="S28" s="37">
        <v>8.3720999999999997</v>
      </c>
      <c r="T28" s="35">
        <v>8.2689000000000004</v>
      </c>
      <c r="U28" s="36">
        <v>9.0768000000000004</v>
      </c>
      <c r="V28" s="36">
        <v>8.1105</v>
      </c>
      <c r="W28" s="36">
        <v>8.7411999999999992</v>
      </c>
      <c r="X28" s="36">
        <v>8.6428999999999991</v>
      </c>
      <c r="Y28" s="36">
        <v>8.2474000000000007</v>
      </c>
      <c r="Z28" s="36">
        <v>8.3308999999999997</v>
      </c>
      <c r="AA28" s="36">
        <v>7.7191999999999998</v>
      </c>
      <c r="AB28" s="36">
        <v>7.6489000000000003</v>
      </c>
      <c r="AC28" s="36">
        <v>7.6883999999999997</v>
      </c>
      <c r="AD28" s="36">
        <v>7.6334999999999997</v>
      </c>
      <c r="AE28" s="37">
        <v>8.2181999999999995</v>
      </c>
      <c r="AF28" s="35">
        <v>7.6159999999999997</v>
      </c>
      <c r="AG28" s="36">
        <v>7.1257999999999999</v>
      </c>
      <c r="AH28" s="36">
        <v>7.0667999999999997</v>
      </c>
      <c r="AI28" s="36">
        <v>6.8472999999999997</v>
      </c>
      <c r="AJ28" s="36">
        <v>6.7382</v>
      </c>
      <c r="AK28" s="36">
        <v>6.3308999999999997</v>
      </c>
      <c r="AL28" s="36">
        <v>6.4791999999999996</v>
      </c>
      <c r="AM28" s="36">
        <v>6.2935999999999996</v>
      </c>
      <c r="AN28" s="36">
        <v>6.4358000000000004</v>
      </c>
      <c r="AO28" s="36">
        <v>7.0589000000000004</v>
      </c>
      <c r="AP28" s="36">
        <v>6.6585000000000001</v>
      </c>
      <c r="AQ28" s="37">
        <v>6.9208999999999996</v>
      </c>
      <c r="AR28" s="35">
        <v>6.82</v>
      </c>
      <c r="AS28" s="36">
        <v>6.7312000000000003</v>
      </c>
      <c r="AT28" s="36">
        <v>7.0723000000000003</v>
      </c>
      <c r="AU28" s="36">
        <v>7.05</v>
      </c>
      <c r="AV28" s="36">
        <v>7.4470000000000001</v>
      </c>
      <c r="AW28" s="36">
        <v>8.0374999999999996</v>
      </c>
      <c r="AX28" s="36">
        <v>8.3176000000000005</v>
      </c>
      <c r="AY28" s="36">
        <v>9.9286999999999992</v>
      </c>
      <c r="AZ28" s="36">
        <v>8.6853999999999996</v>
      </c>
      <c r="BA28" s="36">
        <v>8.8010000000000002</v>
      </c>
      <c r="BB28" s="36">
        <v>9.4905000000000008</v>
      </c>
      <c r="BC28" s="37">
        <v>9.6783999999999999</v>
      </c>
      <c r="BD28" s="35">
        <v>12.2682</v>
      </c>
      <c r="BE28" s="36">
        <v>12.359500000000001</v>
      </c>
      <c r="BF28" s="36">
        <v>12.234400000000001</v>
      </c>
      <c r="BG28" s="36">
        <v>12.544499999999999</v>
      </c>
      <c r="BH28" s="36">
        <v>13.8131</v>
      </c>
      <c r="BI28" s="36">
        <v>14.4321</v>
      </c>
      <c r="BJ28" s="36">
        <v>16.127099999999999</v>
      </c>
      <c r="BK28" s="36">
        <v>16.377400000000002</v>
      </c>
      <c r="BL28" s="36">
        <v>18.319800000000001</v>
      </c>
      <c r="BM28" s="36">
        <v>17.082699999999999</v>
      </c>
      <c r="BN28" s="36">
        <v>15.6585</v>
      </c>
      <c r="BO28" s="37">
        <v>14.260999999999999</v>
      </c>
      <c r="BP28" s="35">
        <v>13.802199999999999</v>
      </c>
      <c r="BQ28" s="36">
        <v>13.6036</v>
      </c>
      <c r="BR28" s="47">
        <v>13.361599999999999</v>
      </c>
      <c r="BS28" s="36">
        <v>11.700799999999999</v>
      </c>
      <c r="BT28" s="36">
        <v>10.404999999999999</v>
      </c>
      <c r="BU28" s="36">
        <f>12.4393-1.095</f>
        <v>11.344299999999999</v>
      </c>
      <c r="BV28" s="36">
        <v>11.5008</v>
      </c>
      <c r="BW28" s="36">
        <v>10.244899999999999</v>
      </c>
      <c r="BX28" s="36">
        <v>10.559900000000001</v>
      </c>
      <c r="BY28" s="36">
        <v>10.637499999999999</v>
      </c>
      <c r="BZ28" s="36">
        <v>11.3043</v>
      </c>
      <c r="CA28" s="38">
        <v>10.1554</v>
      </c>
      <c r="CB28" s="52">
        <v>10.183299999999999</v>
      </c>
      <c r="CC28" s="45">
        <v>10.517200000000001</v>
      </c>
      <c r="CD28" s="45">
        <v>10.579700000000001</v>
      </c>
      <c r="CE28" s="36">
        <v>10.0999</v>
      </c>
      <c r="CF28" s="36">
        <v>8.6150000000000002</v>
      </c>
      <c r="CG28" s="36">
        <v>7.4135</v>
      </c>
      <c r="CH28" s="36">
        <v>11.606299999999999</v>
      </c>
      <c r="CI28" s="45">
        <v>11.488</v>
      </c>
      <c r="CJ28" s="36">
        <v>11.478999999999999</v>
      </c>
      <c r="CK28" s="36">
        <v>7.9250999999999996</v>
      </c>
      <c r="CL28" s="51">
        <v>10.5219</v>
      </c>
      <c r="CM28" s="55">
        <v>10.6038</v>
      </c>
      <c r="CN28" s="36">
        <v>9.9711999999999996</v>
      </c>
      <c r="CO28" s="51">
        <v>10.3026</v>
      </c>
      <c r="CP28" s="51">
        <v>10.3598</v>
      </c>
      <c r="CQ28" s="51"/>
      <c r="CR28" s="51"/>
      <c r="CS28" s="51"/>
      <c r="CT28" s="51"/>
      <c r="CU28" s="51"/>
      <c r="CV28" s="51"/>
      <c r="CW28" s="51"/>
      <c r="CX28" s="51"/>
      <c r="CY28" s="51"/>
    </row>
    <row r="29" spans="1:103" ht="45" customHeight="1">
      <c r="A29" s="39">
        <v>35</v>
      </c>
      <c r="B29" s="40" t="s">
        <v>145</v>
      </c>
      <c r="C29" s="41" t="s">
        <v>146</v>
      </c>
      <c r="D29" s="41" t="s">
        <v>107</v>
      </c>
      <c r="E29" s="41" t="s">
        <v>144</v>
      </c>
      <c r="F29" s="41" t="s">
        <v>109</v>
      </c>
      <c r="G29" s="42" t="s">
        <v>110</v>
      </c>
      <c r="H29" s="35">
        <v>6.7454999999999998</v>
      </c>
      <c r="I29" s="36">
        <v>7.4629000000000003</v>
      </c>
      <c r="J29" s="36">
        <v>7.8586</v>
      </c>
      <c r="K29" s="36">
        <v>7.7393000000000001</v>
      </c>
      <c r="L29" s="36">
        <v>7.5293000000000001</v>
      </c>
      <c r="M29" s="36">
        <v>7.8033000000000001</v>
      </c>
      <c r="N29" s="36">
        <v>8.1348000000000003</v>
      </c>
      <c r="O29" s="36">
        <v>7.9480000000000004</v>
      </c>
      <c r="P29" s="36">
        <v>7.7851999999999997</v>
      </c>
      <c r="Q29" s="36">
        <v>7.9795999999999996</v>
      </c>
      <c r="R29" s="36">
        <v>7.7537000000000003</v>
      </c>
      <c r="S29" s="37">
        <v>7.7483000000000004</v>
      </c>
      <c r="T29" s="35">
        <v>7.67</v>
      </c>
      <c r="U29" s="36">
        <v>7.7504</v>
      </c>
      <c r="V29" s="36">
        <v>7.8152999999999997</v>
      </c>
      <c r="W29" s="36">
        <v>8.0303000000000004</v>
      </c>
      <c r="X29" s="36">
        <v>8.9463000000000008</v>
      </c>
      <c r="Y29" s="36">
        <v>8.5114999999999998</v>
      </c>
      <c r="Z29" s="36">
        <v>8.7974999999999994</v>
      </c>
      <c r="AA29" s="36">
        <v>7.2172999999999998</v>
      </c>
      <c r="AB29" s="36">
        <v>7.1052999999999997</v>
      </c>
      <c r="AC29" s="36">
        <v>6.7971000000000004</v>
      </c>
      <c r="AD29" s="36">
        <v>6.819</v>
      </c>
      <c r="AE29" s="37">
        <v>7.0357000000000003</v>
      </c>
      <c r="AF29" s="35">
        <v>7.6150000000000002</v>
      </c>
      <c r="AG29" s="36">
        <v>6.9127000000000001</v>
      </c>
      <c r="AH29" s="36">
        <v>6.5739999999999998</v>
      </c>
      <c r="AI29" s="36">
        <v>6.2984999999999998</v>
      </c>
      <c r="AJ29" s="36">
        <v>6.6992000000000003</v>
      </c>
      <c r="AK29" s="36">
        <v>6.5228999999999999</v>
      </c>
      <c r="AL29" s="36">
        <v>6.5586000000000002</v>
      </c>
      <c r="AM29" s="36">
        <v>5.8118999999999996</v>
      </c>
      <c r="AN29" s="36">
        <v>5.7398999999999996</v>
      </c>
      <c r="AO29" s="36">
        <v>7.6790000000000003</v>
      </c>
      <c r="AP29" s="36">
        <v>5.8057999999999996</v>
      </c>
      <c r="AQ29" s="37">
        <v>6.2237999999999998</v>
      </c>
      <c r="AR29" s="35">
        <v>6.3573000000000004</v>
      </c>
      <c r="AS29" s="36">
        <v>6.3807</v>
      </c>
      <c r="AT29" s="36">
        <v>5.8113999999999999</v>
      </c>
      <c r="AU29" s="36">
        <v>6.8417000000000003</v>
      </c>
      <c r="AV29" s="36">
        <v>6.8219000000000003</v>
      </c>
      <c r="AW29" s="36">
        <v>8.9916</v>
      </c>
      <c r="AX29" s="36">
        <v>8.1226000000000003</v>
      </c>
      <c r="AY29" s="36">
        <v>8.2512000000000008</v>
      </c>
      <c r="AZ29" s="36">
        <v>6.9695</v>
      </c>
      <c r="BA29" s="36">
        <v>7.3083999999999998</v>
      </c>
      <c r="BB29" s="36">
        <v>8.8005999999999993</v>
      </c>
      <c r="BC29" s="37">
        <v>8.5848999999999993</v>
      </c>
      <c r="BD29" s="35">
        <v>10.277900000000001</v>
      </c>
      <c r="BE29" s="36">
        <v>12.378299999999999</v>
      </c>
      <c r="BF29" s="36">
        <v>9.4542000000000002</v>
      </c>
      <c r="BG29" s="36">
        <v>9.6532999999999998</v>
      </c>
      <c r="BH29" s="36">
        <v>9.8329000000000004</v>
      </c>
      <c r="BI29" s="36">
        <v>10.5694</v>
      </c>
      <c r="BJ29" s="36">
        <v>12.2986</v>
      </c>
      <c r="BK29" s="36">
        <v>12.2776</v>
      </c>
      <c r="BL29" s="36">
        <v>12.076000000000001</v>
      </c>
      <c r="BM29" s="36">
        <v>13.7524</v>
      </c>
      <c r="BN29" s="36">
        <v>17.706700000000001</v>
      </c>
      <c r="BO29" s="37">
        <v>14.354900000000001</v>
      </c>
      <c r="BP29" s="35">
        <v>11.785500000000001</v>
      </c>
      <c r="BQ29" s="36">
        <v>11.741099999999999</v>
      </c>
      <c r="BR29" s="47">
        <v>12.2377</v>
      </c>
      <c r="BS29" s="36">
        <v>11.4495</v>
      </c>
      <c r="BT29" s="36">
        <v>11.1821</v>
      </c>
      <c r="BU29" s="36">
        <f>12.2283-0.8417-0.0418-0.0912-0.1628-0.0062</f>
        <v>11.0846</v>
      </c>
      <c r="BV29" s="36">
        <f>10.9571-0.7302-0.0461-0.801-0.1628-0.0056</f>
        <v>9.2114000000000011</v>
      </c>
      <c r="BW29" s="36">
        <v>10.4465</v>
      </c>
      <c r="BX29" s="36">
        <v>7.8125</v>
      </c>
      <c r="BY29" s="36">
        <v>9.7947000000000006</v>
      </c>
      <c r="BZ29" s="36">
        <v>10.2158</v>
      </c>
      <c r="CA29" s="38">
        <v>9.0807000000000002</v>
      </c>
      <c r="CB29" s="52">
        <v>9.3259000000000007</v>
      </c>
      <c r="CC29" s="51">
        <v>8.7603000000000009</v>
      </c>
      <c r="CD29" s="45">
        <v>9.7553000000000001</v>
      </c>
      <c r="CE29" s="36">
        <v>10.0078</v>
      </c>
      <c r="CF29" s="45">
        <v>10.6347</v>
      </c>
      <c r="CG29" s="36">
        <v>7.9863999999999997</v>
      </c>
      <c r="CH29" s="36">
        <v>9.2829999999999995</v>
      </c>
      <c r="CI29" s="36">
        <v>11.482100000000001</v>
      </c>
      <c r="CJ29" s="36">
        <v>11.799200000000001</v>
      </c>
      <c r="CK29" s="36">
        <v>9.3018000000000001</v>
      </c>
      <c r="CL29" s="51">
        <v>9.7239000000000004</v>
      </c>
      <c r="CM29" s="55">
        <v>9.7575000000000003</v>
      </c>
      <c r="CN29" s="36">
        <v>9.3079999999999998</v>
      </c>
      <c r="CO29" s="51">
        <v>9.5000999999999998</v>
      </c>
      <c r="CP29" s="51">
        <v>9.2180999999999997</v>
      </c>
      <c r="CQ29" s="51"/>
      <c r="CR29" s="51"/>
      <c r="CS29" s="51"/>
      <c r="CT29" s="51"/>
      <c r="CU29" s="51"/>
      <c r="CV29" s="51"/>
      <c r="CW29" s="51"/>
      <c r="CX29" s="51"/>
      <c r="CY29" s="51"/>
    </row>
    <row r="30" spans="1:103" ht="45" customHeight="1">
      <c r="A30" s="39">
        <v>99</v>
      </c>
      <c r="B30" s="40" t="s">
        <v>147</v>
      </c>
      <c r="C30" s="41" t="s">
        <v>148</v>
      </c>
      <c r="D30" s="41" t="s">
        <v>107</v>
      </c>
      <c r="E30" s="41" t="s">
        <v>108</v>
      </c>
      <c r="F30" s="41" t="s">
        <v>109</v>
      </c>
      <c r="G30" s="42" t="s">
        <v>110</v>
      </c>
      <c r="H30" s="35">
        <v>8.1067999999999998</v>
      </c>
      <c r="I30" s="36"/>
      <c r="J30" s="36">
        <v>8.2891999999999992</v>
      </c>
      <c r="K30" s="36">
        <v>8.2422000000000004</v>
      </c>
      <c r="L30" s="36">
        <v>8.2242999999999995</v>
      </c>
      <c r="M30" s="36">
        <v>8.2918000000000003</v>
      </c>
      <c r="N30" s="36">
        <v>8.0675000000000008</v>
      </c>
      <c r="O30" s="36">
        <v>7.8415999999999997</v>
      </c>
      <c r="P30" s="36">
        <v>8.0767000000000007</v>
      </c>
      <c r="Q30" s="36">
        <v>7.1321000000000003</v>
      </c>
      <c r="R30" s="36">
        <v>8.2401999999999997</v>
      </c>
      <c r="S30" s="37">
        <v>8.0888000000000009</v>
      </c>
      <c r="T30" s="35">
        <v>7.9714999999999998</v>
      </c>
      <c r="U30" s="36">
        <v>7.9356999999999998</v>
      </c>
      <c r="V30" s="36">
        <v>7.9108999999999998</v>
      </c>
      <c r="W30" s="36">
        <v>8.7783999999999995</v>
      </c>
      <c r="X30" s="36">
        <v>9.2940000000000005</v>
      </c>
      <c r="Y30" s="36">
        <v>8.1737000000000002</v>
      </c>
      <c r="Z30" s="36">
        <v>8.4087999999999994</v>
      </c>
      <c r="AA30" s="36">
        <v>8.0266000000000002</v>
      </c>
      <c r="AB30" s="36">
        <v>7.8261000000000003</v>
      </c>
      <c r="AC30" s="36">
        <v>7.1222000000000003</v>
      </c>
      <c r="AD30" s="36">
        <v>7.7751000000000001</v>
      </c>
      <c r="AE30" s="37">
        <v>7.8356000000000003</v>
      </c>
      <c r="AF30" s="35">
        <v>7.7641</v>
      </c>
      <c r="AG30" s="36">
        <v>7.6933999999999996</v>
      </c>
      <c r="AH30" s="36">
        <v>7.7668999999999997</v>
      </c>
      <c r="AI30" s="36">
        <v>7.7037000000000004</v>
      </c>
      <c r="AJ30" s="36">
        <v>7.6437999999999997</v>
      </c>
      <c r="AK30" s="36">
        <v>7.7653999999999996</v>
      </c>
      <c r="AL30" s="36">
        <v>7.9958999999999998</v>
      </c>
      <c r="AM30" s="36">
        <v>7.4842000000000004</v>
      </c>
      <c r="AN30" s="36">
        <v>7.5567000000000002</v>
      </c>
      <c r="AO30" s="36">
        <v>6.9733999999999998</v>
      </c>
      <c r="AP30" s="36">
        <v>7.1273</v>
      </c>
      <c r="AQ30" s="37">
        <v>7.6315999999999997</v>
      </c>
      <c r="AR30" s="35">
        <v>7.8372000000000002</v>
      </c>
      <c r="AS30" s="36">
        <v>8.1196999999999999</v>
      </c>
      <c r="AT30" s="36">
        <v>8.2866</v>
      </c>
      <c r="AU30" s="36">
        <v>8.0007000000000001</v>
      </c>
      <c r="AV30" s="36">
        <v>8.4316999999999993</v>
      </c>
      <c r="AW30" s="36">
        <v>8.4917999999999996</v>
      </c>
      <c r="AX30" s="36">
        <v>8.5989000000000004</v>
      </c>
      <c r="AY30" s="36">
        <v>9.1363000000000003</v>
      </c>
      <c r="AZ30" s="36">
        <v>9.3766999999999996</v>
      </c>
      <c r="BA30" s="36">
        <v>9.0075000000000003</v>
      </c>
      <c r="BB30" s="36">
        <v>8.9602000000000004</v>
      </c>
      <c r="BC30" s="37">
        <v>9.0914000000000001</v>
      </c>
      <c r="BD30" s="35">
        <v>9.0584000000000007</v>
      </c>
      <c r="BE30" s="36">
        <v>9.2847000000000008</v>
      </c>
      <c r="BF30" s="36">
        <v>9.3355999999999995</v>
      </c>
      <c r="BG30" s="36">
        <v>9.5114000000000001</v>
      </c>
      <c r="BH30" s="36">
        <v>9.5408000000000008</v>
      </c>
      <c r="BI30" s="36">
        <v>9.5616000000000003</v>
      </c>
      <c r="BJ30" s="36">
        <v>9.4695</v>
      </c>
      <c r="BK30" s="36">
        <v>9.5632000000000001</v>
      </c>
      <c r="BL30" s="36">
        <v>10.231400000000001</v>
      </c>
      <c r="BM30" s="36">
        <v>10.1823</v>
      </c>
      <c r="BN30" s="36">
        <v>10.222799999999999</v>
      </c>
      <c r="BO30" s="37">
        <v>10.2226</v>
      </c>
      <c r="BP30" s="35">
        <v>10.1922</v>
      </c>
      <c r="BQ30" s="36">
        <v>10.084099999999999</v>
      </c>
      <c r="BR30" s="47">
        <v>10.110300000000001</v>
      </c>
      <c r="BS30" s="36">
        <v>10.110900000000001</v>
      </c>
      <c r="BT30" s="36">
        <v>9.7904999999999998</v>
      </c>
      <c r="BU30" s="36">
        <v>9.7965999999999998</v>
      </c>
      <c r="BV30" s="36">
        <v>9.6961999999999993</v>
      </c>
      <c r="BW30" s="36">
        <v>9.6442999999999994</v>
      </c>
      <c r="BX30" s="36">
        <v>9.6384000000000007</v>
      </c>
      <c r="BY30" s="36">
        <v>9.6252999999999993</v>
      </c>
      <c r="BZ30" s="36">
        <v>9.8225999999999996</v>
      </c>
      <c r="CA30" s="38">
        <v>9.7727000000000004</v>
      </c>
      <c r="CB30" s="48">
        <v>9.4093</v>
      </c>
      <c r="CC30" s="51">
        <v>9.6152999999999995</v>
      </c>
      <c r="CD30" s="44">
        <v>10.0785</v>
      </c>
      <c r="CE30" s="44">
        <v>10.0649</v>
      </c>
      <c r="CF30" s="45">
        <v>10.2761</v>
      </c>
      <c r="CG30" s="45">
        <v>11.395099999999999</v>
      </c>
      <c r="CH30" s="49">
        <v>9.9533000000000005</v>
      </c>
      <c r="CI30" s="45">
        <v>11.247199999999999</v>
      </c>
      <c r="CJ30" s="36">
        <v>11.135999999999999</v>
      </c>
      <c r="CK30" s="36">
        <v>10.758900000000001</v>
      </c>
      <c r="CL30" s="36">
        <v>10.3651</v>
      </c>
      <c r="CM30" s="56">
        <v>10.974299999999999</v>
      </c>
      <c r="CN30" s="49">
        <v>10.771800000000001</v>
      </c>
      <c r="CO30" s="57">
        <v>10.331799999999999</v>
      </c>
      <c r="CP30" s="57">
        <v>9.7909000000000006</v>
      </c>
      <c r="CQ30" s="57"/>
      <c r="CR30" s="57"/>
      <c r="CS30" s="57"/>
      <c r="CT30" s="57"/>
      <c r="CU30" s="57"/>
      <c r="CV30" s="57"/>
      <c r="CW30" s="57"/>
      <c r="CX30" s="57"/>
      <c r="CY30" s="57"/>
    </row>
    <row r="31" spans="1:103" ht="45" customHeight="1">
      <c r="A31" s="39">
        <v>142</v>
      </c>
      <c r="B31" s="40" t="s">
        <v>149</v>
      </c>
      <c r="C31" s="41" t="s">
        <v>150</v>
      </c>
      <c r="D31" s="41" t="s">
        <v>107</v>
      </c>
      <c r="E31" s="41" t="s">
        <v>135</v>
      </c>
      <c r="F31" s="41" t="s">
        <v>118</v>
      </c>
      <c r="G31" s="42" t="s">
        <v>151</v>
      </c>
      <c r="H31" s="35"/>
      <c r="I31" s="36"/>
      <c r="J31" s="36"/>
      <c r="K31" s="36"/>
      <c r="L31" s="36"/>
      <c r="M31" s="36"/>
      <c r="N31" s="36"/>
      <c r="O31" s="36"/>
      <c r="P31" s="36"/>
      <c r="Q31" s="36"/>
      <c r="R31" s="36"/>
      <c r="S31" s="37"/>
      <c r="T31" s="35"/>
      <c r="U31" s="36"/>
      <c r="V31" s="36"/>
      <c r="W31" s="36"/>
      <c r="X31" s="36"/>
      <c r="Y31" s="36"/>
      <c r="Z31" s="36"/>
      <c r="AA31" s="36"/>
      <c r="AB31" s="36"/>
      <c r="AC31" s="36"/>
      <c r="AD31" s="36"/>
      <c r="AE31" s="37"/>
      <c r="AF31" s="35"/>
      <c r="AG31" s="36"/>
      <c r="AH31" s="36"/>
      <c r="AI31" s="36"/>
      <c r="AJ31" s="36"/>
      <c r="AK31" s="36"/>
      <c r="AL31" s="36"/>
      <c r="AM31" s="36"/>
      <c r="AN31" s="36"/>
      <c r="AO31" s="36"/>
      <c r="AP31" s="36"/>
      <c r="AQ31" s="37"/>
      <c r="AR31" s="35"/>
      <c r="AS31" s="36"/>
      <c r="AT31" s="36"/>
      <c r="AU31" s="36"/>
      <c r="AV31" s="36"/>
      <c r="AW31" s="36"/>
      <c r="AX31" s="36"/>
      <c r="AY31" s="36"/>
      <c r="AZ31" s="36"/>
      <c r="BA31" s="36"/>
      <c r="BB31" s="36"/>
      <c r="BC31" s="37"/>
      <c r="BD31" s="35"/>
      <c r="BE31" s="36"/>
      <c r="BF31" s="36"/>
      <c r="BG31" s="36"/>
      <c r="BH31" s="36"/>
      <c r="BI31" s="36"/>
      <c r="BJ31" s="36"/>
      <c r="BK31" s="36">
        <v>6.7462999999999997</v>
      </c>
      <c r="BL31" s="36">
        <v>6.5463990000000001</v>
      </c>
      <c r="BM31" s="36">
        <v>9.6165939999999992</v>
      </c>
      <c r="BN31" s="36">
        <v>8.1580110000000001</v>
      </c>
      <c r="BO31" s="37">
        <v>7.5765000000000002</v>
      </c>
      <c r="BP31" s="35">
        <f>7.781859+0.125099+0.5526</f>
        <v>8.4595579999999995</v>
      </c>
      <c r="BQ31" s="36">
        <f>7.781859+0.125099+0.5526</f>
        <v>8.4595579999999995</v>
      </c>
      <c r="BR31" s="47">
        <f>6.3400282+0.0764811+0.5526</f>
        <v>6.9691092999999995</v>
      </c>
      <c r="BS31" s="36">
        <v>11.294956000000001</v>
      </c>
      <c r="BT31" s="36">
        <v>12.510063000000001</v>
      </c>
      <c r="BU31" s="36">
        <v>11.236345999999999</v>
      </c>
      <c r="BV31" s="36">
        <v>10.518946</v>
      </c>
      <c r="BW31" s="36">
        <v>9.3379290000000008</v>
      </c>
      <c r="BX31" s="36">
        <v>10.46</v>
      </c>
      <c r="BY31" s="36">
        <v>9.9473040000000008</v>
      </c>
      <c r="BZ31" s="36">
        <v>10.487876999999999</v>
      </c>
      <c r="CA31" s="38">
        <v>10.666925000000001</v>
      </c>
      <c r="CB31" s="52">
        <v>10.066201</v>
      </c>
      <c r="CC31" s="36">
        <v>10.013581</v>
      </c>
      <c r="CD31" s="36">
        <v>9.8751259999999998</v>
      </c>
      <c r="CE31" s="36">
        <v>9.131634</v>
      </c>
      <c r="CF31" s="36">
        <v>9.1600190000000001</v>
      </c>
      <c r="CG31" s="36">
        <v>6.4795439999999997</v>
      </c>
      <c r="CH31" s="36">
        <v>16.111499999999999</v>
      </c>
      <c r="CI31" s="36"/>
      <c r="CJ31" s="36"/>
      <c r="CK31" s="36"/>
      <c r="CL31" s="36"/>
      <c r="CM31" s="38"/>
      <c r="CN31" s="36"/>
      <c r="CO31" s="36"/>
      <c r="CP31" s="36"/>
      <c r="CQ31" s="36"/>
      <c r="CR31" s="36"/>
      <c r="CS31" s="36"/>
      <c r="CT31" s="36"/>
      <c r="CU31" s="36"/>
      <c r="CV31" s="36"/>
      <c r="CW31" s="36"/>
      <c r="CX31" s="36"/>
      <c r="CY31" s="36"/>
    </row>
    <row r="32" spans="1:103" ht="45" customHeight="1">
      <c r="A32" s="39">
        <v>18</v>
      </c>
      <c r="B32" s="40" t="s">
        <v>152</v>
      </c>
      <c r="C32" s="41" t="s">
        <v>153</v>
      </c>
      <c r="D32" s="41" t="s">
        <v>107</v>
      </c>
      <c r="E32" s="41" t="s">
        <v>154</v>
      </c>
      <c r="F32" s="41" t="s">
        <v>118</v>
      </c>
      <c r="G32" s="42" t="s">
        <v>110</v>
      </c>
      <c r="H32" s="35">
        <v>11.5746</v>
      </c>
      <c r="I32" s="36">
        <v>12.5304</v>
      </c>
      <c r="J32" s="36">
        <v>12.9528</v>
      </c>
      <c r="K32" s="36">
        <v>13.022</v>
      </c>
      <c r="L32" s="36">
        <v>12.229900000000001</v>
      </c>
      <c r="M32" s="36">
        <v>11.9383</v>
      </c>
      <c r="N32" s="36">
        <v>12.2881</v>
      </c>
      <c r="O32" s="36">
        <v>11.938700000000001</v>
      </c>
      <c r="P32" s="36">
        <v>12.009399999999999</v>
      </c>
      <c r="Q32" s="36">
        <v>12.500999999999999</v>
      </c>
      <c r="R32" s="36">
        <v>12.080399999999999</v>
      </c>
      <c r="S32" s="37">
        <v>12.2377</v>
      </c>
      <c r="T32" s="35">
        <v>11.900600000000001</v>
      </c>
      <c r="U32" s="36">
        <v>11.0367</v>
      </c>
      <c r="V32" s="36">
        <v>10.594900000000001</v>
      </c>
      <c r="W32" s="36">
        <v>8.9792000000000005</v>
      </c>
      <c r="X32" s="36">
        <v>8.7573000000000008</v>
      </c>
      <c r="Y32" s="36">
        <v>8.7136999999999993</v>
      </c>
      <c r="Z32" s="36">
        <v>8.5884</v>
      </c>
      <c r="AA32" s="36">
        <v>8.7138000000000009</v>
      </c>
      <c r="AB32" s="36">
        <v>8.9243000000000006</v>
      </c>
      <c r="AC32" s="36">
        <v>8.4612999999999996</v>
      </c>
      <c r="AD32" s="36">
        <v>9.0561000000000007</v>
      </c>
      <c r="AE32" s="37">
        <v>8.9802999999999997</v>
      </c>
      <c r="AF32" s="35">
        <v>8.6188000000000002</v>
      </c>
      <c r="AG32" s="36">
        <v>8.8711000000000002</v>
      </c>
      <c r="AH32" s="36">
        <v>9.0807000000000002</v>
      </c>
      <c r="AI32" s="36">
        <v>8.5942000000000007</v>
      </c>
      <c r="AJ32" s="36">
        <v>8.4160000000000004</v>
      </c>
      <c r="AK32" s="36">
        <v>8.5205000000000002</v>
      </c>
      <c r="AL32" s="36">
        <v>8.2142999999999997</v>
      </c>
      <c r="AM32" s="36">
        <v>8.1651000000000007</v>
      </c>
      <c r="AN32" s="36">
        <v>8.0056999999999992</v>
      </c>
      <c r="AO32" s="36">
        <v>8.2202999999999999</v>
      </c>
      <c r="AP32" s="36">
        <v>7.8676000000000004</v>
      </c>
      <c r="AQ32" s="37">
        <v>7.7961999999999998</v>
      </c>
      <c r="AR32" s="35">
        <v>8.3260000000000005</v>
      </c>
      <c r="AS32" s="36">
        <v>9.7409999999999997</v>
      </c>
      <c r="AT32" s="36">
        <v>10.645799999999999</v>
      </c>
      <c r="AU32" s="36">
        <v>10.993600000000001</v>
      </c>
      <c r="AV32" s="36">
        <v>10.9444</v>
      </c>
      <c r="AW32" s="36">
        <v>10.772500000000001</v>
      </c>
      <c r="AX32" s="36">
        <v>11.9877</v>
      </c>
      <c r="AY32" s="36">
        <v>13.3066</v>
      </c>
      <c r="AZ32" s="36">
        <v>11.9344</v>
      </c>
      <c r="BA32" s="36">
        <v>11.428800000000001</v>
      </c>
      <c r="BB32" s="36">
        <v>11.991199999999999</v>
      </c>
      <c r="BC32" s="37">
        <v>12.132899999999999</v>
      </c>
      <c r="BD32" s="35">
        <v>12.5822</v>
      </c>
      <c r="BE32" s="36">
        <v>15.658099999999999</v>
      </c>
      <c r="BF32" s="36">
        <v>17.3827</v>
      </c>
      <c r="BG32" s="36">
        <v>17.1904</v>
      </c>
      <c r="BH32" s="36">
        <v>17.198599999999999</v>
      </c>
      <c r="BI32" s="36">
        <v>18.149999999999999</v>
      </c>
      <c r="BJ32" s="36">
        <v>18.777799999999999</v>
      </c>
      <c r="BK32" s="36">
        <v>19.329499999999999</v>
      </c>
      <c r="BL32" s="36">
        <v>20.956299999999999</v>
      </c>
      <c r="BM32" s="36">
        <v>19.479099999999999</v>
      </c>
      <c r="BN32" s="36">
        <v>18.689800000000002</v>
      </c>
      <c r="BO32" s="37">
        <v>16.082100000000001</v>
      </c>
      <c r="BP32" s="35">
        <v>15.0929</v>
      </c>
      <c r="BQ32" s="36">
        <v>15.4391</v>
      </c>
      <c r="BR32" s="47">
        <v>15.8066</v>
      </c>
      <c r="BS32" s="36">
        <v>14.648999999999999</v>
      </c>
      <c r="BT32" s="36">
        <v>13.7418</v>
      </c>
      <c r="BU32" s="36">
        <v>13.7349</v>
      </c>
      <c r="BV32" s="36">
        <v>13.0258</v>
      </c>
      <c r="BW32" s="36">
        <v>12.221399999999999</v>
      </c>
      <c r="BX32" s="36">
        <v>12.496</v>
      </c>
      <c r="BY32" s="36">
        <v>13.087300000000001</v>
      </c>
      <c r="BZ32" s="36">
        <f>16.2881-1.3329</f>
        <v>14.9552</v>
      </c>
      <c r="CA32" s="38">
        <f>14.8541-1.0671</f>
        <v>13.787000000000001</v>
      </c>
      <c r="CB32" s="52">
        <v>13.381</v>
      </c>
      <c r="CC32" s="51">
        <v>11.739599999999999</v>
      </c>
      <c r="CD32" s="45">
        <v>13.8331</v>
      </c>
      <c r="CE32" s="45">
        <v>13.641400000000001</v>
      </c>
      <c r="CF32" s="45">
        <v>13.1988</v>
      </c>
      <c r="CG32" s="36">
        <v>15.0428</v>
      </c>
      <c r="CH32" s="45">
        <v>16.111499999999999</v>
      </c>
      <c r="CI32" s="36">
        <f>7.6292+0.9403+1.1817+1.0557+1.0282+0.5792+0.5324+0.1805+0.0017+0.0838+0.0428</f>
        <v>13.2555</v>
      </c>
      <c r="CJ32" s="36">
        <v>17.484500000000001</v>
      </c>
      <c r="CK32" s="45">
        <f>12.2-0.676</f>
        <v>11.523999999999999</v>
      </c>
      <c r="CL32" s="45">
        <v>15.664199999999999</v>
      </c>
      <c r="CM32" s="50">
        <v>14.1494</v>
      </c>
      <c r="CN32" s="36">
        <v>14.878299999999999</v>
      </c>
      <c r="CO32" s="45">
        <v>15.0656</v>
      </c>
      <c r="CP32" s="45">
        <v>14.4864</v>
      </c>
      <c r="CQ32" s="45"/>
      <c r="CR32" s="45"/>
      <c r="CS32" s="45"/>
      <c r="CT32" s="45"/>
      <c r="CU32" s="45"/>
      <c r="CV32" s="45"/>
      <c r="CW32" s="45"/>
      <c r="CX32" s="45"/>
      <c r="CY32" s="45"/>
    </row>
    <row r="33" spans="1:103" ht="45" customHeight="1">
      <c r="A33" s="39">
        <v>109</v>
      </c>
      <c r="B33" s="58" t="s">
        <v>155</v>
      </c>
      <c r="C33" s="59" t="s">
        <v>156</v>
      </c>
      <c r="D33" s="59" t="s">
        <v>134</v>
      </c>
      <c r="E33" s="59" t="s">
        <v>157</v>
      </c>
      <c r="F33" s="59" t="s">
        <v>109</v>
      </c>
      <c r="G33" s="60" t="s">
        <v>110</v>
      </c>
      <c r="H33" s="36">
        <v>6.9550000000000001</v>
      </c>
      <c r="I33" s="36">
        <v>6.9499000000000004</v>
      </c>
      <c r="J33" s="36">
        <v>6.9554</v>
      </c>
      <c r="K33" s="36">
        <v>6.9791999999999996</v>
      </c>
      <c r="L33" s="36">
        <v>6.4127999999999998</v>
      </c>
      <c r="M33" s="36">
        <v>6.3299000000000003</v>
      </c>
      <c r="N33" s="36">
        <v>6.3410000000000002</v>
      </c>
      <c r="O33" s="36">
        <v>6.3343999999999996</v>
      </c>
      <c r="P33" s="36">
        <v>6.3539000000000003</v>
      </c>
      <c r="Q33" s="36">
        <v>6.3371000000000004</v>
      </c>
      <c r="R33" s="36">
        <v>6.3418999999999999</v>
      </c>
      <c r="S33" s="36">
        <v>6.3221999999999996</v>
      </c>
      <c r="T33" s="36">
        <v>6.3291000000000004</v>
      </c>
      <c r="U33" s="36">
        <v>6.1199000000000003</v>
      </c>
      <c r="V33" s="36">
        <v>6.1308999999999996</v>
      </c>
      <c r="W33" s="36">
        <v>6.1242000000000001</v>
      </c>
      <c r="X33" s="36">
        <v>6.1306000000000003</v>
      </c>
      <c r="Y33" s="36">
        <v>6.0861000000000001</v>
      </c>
      <c r="Z33" s="36">
        <v>6.1614000000000004</v>
      </c>
      <c r="AA33" s="36">
        <v>6.1588000000000003</v>
      </c>
      <c r="AB33" s="36">
        <v>6.1712999999999996</v>
      </c>
      <c r="AC33" s="36">
        <v>6.1647999999999996</v>
      </c>
      <c r="AD33" s="36">
        <v>6.1875999999999998</v>
      </c>
      <c r="AE33" s="36">
        <v>6.7495000000000003</v>
      </c>
      <c r="AF33" s="36">
        <v>6.2054999999999998</v>
      </c>
      <c r="AG33" s="36">
        <v>6.1306000000000003</v>
      </c>
      <c r="AH33" s="36">
        <v>6.1261999999999999</v>
      </c>
      <c r="AI33" s="36">
        <v>6.1220999999999997</v>
      </c>
      <c r="AJ33" s="36">
        <v>6.1289999999999996</v>
      </c>
      <c r="AK33" s="36">
        <v>6.1452999999999998</v>
      </c>
      <c r="AL33" s="36">
        <v>6.1738</v>
      </c>
      <c r="AM33" s="36">
        <v>6.1772</v>
      </c>
      <c r="AN33" s="36">
        <v>6.1784999999999997</v>
      </c>
      <c r="AO33" s="36">
        <v>0.82979999999999998</v>
      </c>
      <c r="AP33" s="36">
        <v>0.82969999999999999</v>
      </c>
      <c r="AQ33" s="36">
        <v>0.82969999999999999</v>
      </c>
      <c r="AR33" s="36">
        <v>6.1959</v>
      </c>
      <c r="AS33" s="36">
        <v>6.2253999999999996</v>
      </c>
      <c r="AT33" s="36">
        <v>6.2599</v>
      </c>
      <c r="AU33" s="36">
        <v>6.2892999999999999</v>
      </c>
      <c r="AV33" s="36">
        <v>6.2995999999999999</v>
      </c>
      <c r="AW33" s="36">
        <v>6.3038999999999996</v>
      </c>
      <c r="AX33" s="36">
        <v>6.2469999999999999</v>
      </c>
      <c r="AY33" s="36">
        <v>6.2587000000000002</v>
      </c>
      <c r="AZ33" s="36">
        <v>6.3101000000000003</v>
      </c>
      <c r="BA33" s="36">
        <v>6.2850999999999999</v>
      </c>
      <c r="BB33" s="36">
        <v>6.3075000000000001</v>
      </c>
      <c r="BC33" s="36">
        <v>6.2904999999999998</v>
      </c>
      <c r="BD33" s="35">
        <v>6.2484999999999999</v>
      </c>
      <c r="BE33" s="36">
        <v>6.2717999999999998</v>
      </c>
      <c r="BF33" s="36">
        <v>6.3291000000000004</v>
      </c>
      <c r="BG33" s="36">
        <v>7.0709</v>
      </c>
      <c r="BH33" s="36">
        <v>7.0323000000000002</v>
      </c>
      <c r="BI33" s="36">
        <v>7.0369999999999999</v>
      </c>
      <c r="BJ33" s="36">
        <v>7.0484999999999998</v>
      </c>
      <c r="BK33" s="36">
        <v>7.0259999999999998</v>
      </c>
      <c r="BL33" s="36">
        <v>6.9905999999999997</v>
      </c>
      <c r="BM33" s="36">
        <v>6.9707999999999997</v>
      </c>
      <c r="BN33" s="36">
        <v>6.9766000000000004</v>
      </c>
      <c r="BO33" s="37">
        <v>6.9881000000000002</v>
      </c>
      <c r="BP33" s="35">
        <v>6.9718999999999998</v>
      </c>
      <c r="BQ33" s="36">
        <v>7.5659000000000001</v>
      </c>
      <c r="BR33" s="36">
        <v>8.5484000000000009</v>
      </c>
      <c r="BS33" s="36">
        <v>9.4671000000000003</v>
      </c>
      <c r="BT33" s="36">
        <f>13.3212-1.4065</f>
        <v>11.9147</v>
      </c>
      <c r="BU33" s="36">
        <f>14.3954-1.517</f>
        <v>12.878400000000001</v>
      </c>
      <c r="BV33" s="36">
        <f>15.0943-1.5919</f>
        <v>13.5024</v>
      </c>
      <c r="BW33" s="36">
        <f>15.2567-1.6093</f>
        <v>13.647400000000001</v>
      </c>
      <c r="BX33" s="36">
        <f>14.8192-1.5624</f>
        <v>13.2568</v>
      </c>
      <c r="BY33" s="36">
        <f>14.9769-1.5765</f>
        <v>13.400400000000001</v>
      </c>
      <c r="BZ33" s="36">
        <f>15.4358-1.6256</f>
        <v>13.8102</v>
      </c>
      <c r="CA33" s="38">
        <f>15.1098-(1.5619-0.0288)</f>
        <v>13.576699999999999</v>
      </c>
      <c r="CB33" s="48">
        <v>13.2789</v>
      </c>
      <c r="CC33" s="45">
        <v>13.496600000000001</v>
      </c>
      <c r="CD33" s="45">
        <v>13.4125</v>
      </c>
      <c r="CE33" s="36">
        <v>16.125399999999999</v>
      </c>
      <c r="CF33" s="44">
        <v>14.4305</v>
      </c>
      <c r="CG33" s="36">
        <v>13.184900000000001</v>
      </c>
      <c r="CH33" s="36">
        <v>12.7758</v>
      </c>
      <c r="CI33" s="49">
        <v>12.6967</v>
      </c>
      <c r="CJ33" s="49">
        <v>15.026300000000001</v>
      </c>
      <c r="CK33" s="36">
        <v>14.9116</v>
      </c>
      <c r="CL33" s="36">
        <v>16.799600000000002</v>
      </c>
      <c r="CM33" s="38">
        <v>17.145</v>
      </c>
      <c r="CN33" s="36">
        <v>18.240600000000001</v>
      </c>
      <c r="CO33" s="36">
        <v>18.278199999999998</v>
      </c>
      <c r="CP33" s="36">
        <v>18.5641</v>
      </c>
      <c r="CQ33" s="36">
        <v>18.6371</v>
      </c>
      <c r="CR33" s="36"/>
      <c r="CS33" s="36"/>
      <c r="CT33" s="36"/>
      <c r="CU33" s="36"/>
      <c r="CV33" s="36"/>
      <c r="CW33" s="36"/>
      <c r="CX33" s="36"/>
      <c r="CY33" s="36"/>
    </row>
    <row r="34" spans="1:103" ht="45" customHeight="1">
      <c r="A34" s="39">
        <v>4</v>
      </c>
      <c r="B34" s="40" t="s">
        <v>158</v>
      </c>
      <c r="C34" s="41" t="s">
        <v>159</v>
      </c>
      <c r="D34" s="41" t="s">
        <v>107</v>
      </c>
      <c r="E34" s="41" t="s">
        <v>135</v>
      </c>
      <c r="F34" s="41" t="s">
        <v>118</v>
      </c>
      <c r="G34" s="42" t="s">
        <v>114</v>
      </c>
      <c r="H34" s="35">
        <v>9.61</v>
      </c>
      <c r="I34" s="36">
        <v>10.340400000000001</v>
      </c>
      <c r="J34" s="36">
        <v>10.430999999999999</v>
      </c>
      <c r="K34" s="36">
        <v>10.335100000000001</v>
      </c>
      <c r="L34" s="36">
        <v>10.830500000000001</v>
      </c>
      <c r="M34" s="36">
        <v>10.533899999999999</v>
      </c>
      <c r="N34" s="36">
        <v>10.79</v>
      </c>
      <c r="O34" s="36">
        <v>11.08</v>
      </c>
      <c r="P34" s="36">
        <v>11.05</v>
      </c>
      <c r="Q34" s="36">
        <v>10.69</v>
      </c>
      <c r="R34" s="36">
        <v>11.22</v>
      </c>
      <c r="S34" s="37">
        <v>10.84</v>
      </c>
      <c r="T34" s="35">
        <v>11.22</v>
      </c>
      <c r="U34" s="36">
        <v>10.93</v>
      </c>
      <c r="V34" s="36">
        <v>11.11</v>
      </c>
      <c r="W34" s="36">
        <v>11.38</v>
      </c>
      <c r="X34" s="36">
        <v>11.87</v>
      </c>
      <c r="Y34" s="36">
        <v>13.22</v>
      </c>
      <c r="Z34" s="36">
        <v>11.95</v>
      </c>
      <c r="AA34" s="36">
        <v>9.26</v>
      </c>
      <c r="AB34" s="36">
        <v>10.210000000000001</v>
      </c>
      <c r="AC34" s="36">
        <v>10.06</v>
      </c>
      <c r="AD34" s="36">
        <v>10.69</v>
      </c>
      <c r="AE34" s="37">
        <v>11.38</v>
      </c>
      <c r="AF34" s="35">
        <v>10.119999999999999</v>
      </c>
      <c r="AG34" s="36">
        <v>10.09</v>
      </c>
      <c r="AH34" s="36">
        <v>10.19</v>
      </c>
      <c r="AI34" s="36">
        <v>9.86</v>
      </c>
      <c r="AJ34" s="36">
        <v>8.08</v>
      </c>
      <c r="AK34" s="36">
        <v>8.76</v>
      </c>
      <c r="AL34" s="36">
        <v>9.83</v>
      </c>
      <c r="AM34" s="36">
        <v>9.35</v>
      </c>
      <c r="AN34" s="36">
        <v>9.15</v>
      </c>
      <c r="AO34" s="36">
        <v>9.8000000000000007</v>
      </c>
      <c r="AP34" s="36">
        <v>8.23</v>
      </c>
      <c r="AQ34" s="37">
        <v>9.4700000000000006</v>
      </c>
      <c r="AR34" s="35">
        <v>9.4</v>
      </c>
      <c r="AS34" s="36">
        <v>8.9600000000000009</v>
      </c>
      <c r="AT34" s="36">
        <v>9.73</v>
      </c>
      <c r="AU34" s="36">
        <v>10.130000000000001</v>
      </c>
      <c r="AV34" s="36">
        <v>10.3</v>
      </c>
      <c r="AW34" s="36">
        <v>10.26</v>
      </c>
      <c r="AX34" s="36">
        <v>11.45</v>
      </c>
      <c r="AY34" s="36">
        <v>9.34</v>
      </c>
      <c r="AZ34" s="36">
        <v>11.65</v>
      </c>
      <c r="BA34" s="36">
        <v>8.4</v>
      </c>
      <c r="BB34" s="36">
        <v>9.85</v>
      </c>
      <c r="BC34" s="37">
        <v>9.9499999999999993</v>
      </c>
      <c r="BD34" s="35">
        <v>11.03</v>
      </c>
      <c r="BE34" s="36">
        <v>18.28</v>
      </c>
      <c r="BF34" s="36">
        <v>14.51</v>
      </c>
      <c r="BG34" s="36">
        <v>10.5</v>
      </c>
      <c r="BH34" s="36">
        <v>12.16</v>
      </c>
      <c r="BI34" s="36">
        <v>11.09</v>
      </c>
      <c r="BJ34" s="36">
        <v>11.86</v>
      </c>
      <c r="BK34" s="36">
        <v>12.85</v>
      </c>
      <c r="BL34" s="36">
        <v>14.72</v>
      </c>
      <c r="BM34" s="36">
        <v>16.43</v>
      </c>
      <c r="BN34" s="36">
        <v>17.63</v>
      </c>
      <c r="BO34" s="37">
        <v>18.149999999999999</v>
      </c>
      <c r="BP34" s="35">
        <v>16.399999999999999</v>
      </c>
      <c r="BQ34" s="36">
        <v>19.04</v>
      </c>
      <c r="BR34" s="47">
        <v>16.98</v>
      </c>
      <c r="BS34" s="36">
        <v>16.54</v>
      </c>
      <c r="BT34" s="36">
        <v>15.27</v>
      </c>
      <c r="BU34" s="36">
        <v>14.47</v>
      </c>
      <c r="BV34" s="36">
        <v>16.34</v>
      </c>
      <c r="BW34" s="36">
        <v>14.72</v>
      </c>
      <c r="BX34" s="36">
        <v>13.587999999999999</v>
      </c>
      <c r="BY34" s="36">
        <v>13.45</v>
      </c>
      <c r="BZ34" s="36">
        <v>13.77</v>
      </c>
      <c r="CA34" s="38">
        <v>11.03</v>
      </c>
      <c r="CB34" s="52">
        <v>10.48</v>
      </c>
      <c r="CC34" s="51">
        <v>7.62</v>
      </c>
      <c r="CD34" s="44">
        <v>9.08</v>
      </c>
      <c r="CE34" s="44">
        <v>10.44</v>
      </c>
      <c r="CF34" s="44">
        <v>12.93</v>
      </c>
      <c r="CG34" s="44">
        <v>13.12</v>
      </c>
      <c r="CH34" s="36">
        <v>10.99</v>
      </c>
      <c r="CI34" s="44">
        <v>12.82</v>
      </c>
      <c r="CJ34" s="44">
        <v>13.62</v>
      </c>
      <c r="CK34" s="44">
        <v>9.81</v>
      </c>
      <c r="CL34" s="44">
        <v>11.92</v>
      </c>
      <c r="CM34" s="46">
        <v>10.67</v>
      </c>
      <c r="CN34" s="36">
        <v>9.5</v>
      </c>
      <c r="CO34" s="44">
        <v>9.9216999999999995</v>
      </c>
      <c r="CP34" s="44">
        <v>9.0399999999999991</v>
      </c>
      <c r="CQ34" s="44"/>
      <c r="CR34" s="44"/>
      <c r="CS34" s="44"/>
      <c r="CT34" s="44"/>
      <c r="CU34" s="44"/>
      <c r="CV34" s="44"/>
      <c r="CW34" s="44"/>
      <c r="CX34" s="44"/>
      <c r="CY34" s="44"/>
    </row>
    <row r="35" spans="1:103" ht="45" customHeight="1">
      <c r="A35" s="39">
        <v>80</v>
      </c>
      <c r="B35" s="40" t="s">
        <v>160</v>
      </c>
      <c r="C35" s="41" t="s">
        <v>161</v>
      </c>
      <c r="D35" s="41" t="s">
        <v>107</v>
      </c>
      <c r="E35" s="41" t="s">
        <v>135</v>
      </c>
      <c r="F35" s="41" t="s">
        <v>118</v>
      </c>
      <c r="G35" s="42" t="s">
        <v>110</v>
      </c>
      <c r="H35" s="61">
        <v>9.6355000000000004</v>
      </c>
      <c r="I35" s="47">
        <v>9.8635999999999999</v>
      </c>
      <c r="J35" s="47">
        <v>10.0968</v>
      </c>
      <c r="K35" s="47">
        <v>10.207800000000001</v>
      </c>
      <c r="L35" s="47">
        <v>10.1418</v>
      </c>
      <c r="M35" s="47">
        <v>10.0162</v>
      </c>
      <c r="N35" s="47">
        <v>10.265499999999999</v>
      </c>
      <c r="O35" s="36">
        <v>10.291</v>
      </c>
      <c r="P35" s="36">
        <v>10.535399999999999</v>
      </c>
      <c r="Q35" s="36">
        <v>10.2851</v>
      </c>
      <c r="R35" s="36">
        <v>10.392899999999999</v>
      </c>
      <c r="S35" s="37">
        <v>10.4171</v>
      </c>
      <c r="T35" s="35">
        <v>10.2315</v>
      </c>
      <c r="U35" s="36">
        <v>9.6958000000000002</v>
      </c>
      <c r="V35" s="47">
        <v>9.7536000000000005</v>
      </c>
      <c r="W35" s="47">
        <v>9.9373000000000005</v>
      </c>
      <c r="X35" s="47">
        <v>10.1067</v>
      </c>
      <c r="Y35" s="47">
        <v>11.694599999999999</v>
      </c>
      <c r="Z35" s="47">
        <v>10.728300000000001</v>
      </c>
      <c r="AA35" s="36">
        <v>9.4298000000000002</v>
      </c>
      <c r="AB35" s="47">
        <v>8.0657999999999994</v>
      </c>
      <c r="AC35" s="47">
        <v>9.2258999999999993</v>
      </c>
      <c r="AD35" s="47">
        <v>9.6729000000000003</v>
      </c>
      <c r="AE35" s="62">
        <v>9.8873999999999995</v>
      </c>
      <c r="AF35" s="61">
        <v>8.9957999999999991</v>
      </c>
      <c r="AG35" s="47">
        <v>8.7883999999999993</v>
      </c>
      <c r="AH35" s="47">
        <v>8.8069000000000006</v>
      </c>
      <c r="AI35" s="47">
        <v>8.3970000000000002</v>
      </c>
      <c r="AJ35" s="47">
        <v>8.6073000000000004</v>
      </c>
      <c r="AK35" s="47">
        <v>7.8015999999999996</v>
      </c>
      <c r="AL35" s="47">
        <v>8.6255000000000006</v>
      </c>
      <c r="AM35" s="47">
        <v>8.4604999999999997</v>
      </c>
      <c r="AN35" s="47">
        <v>8.5053000000000001</v>
      </c>
      <c r="AO35" s="47">
        <v>8.5756999999999994</v>
      </c>
      <c r="AP35" s="47">
        <v>7.5069999999999997</v>
      </c>
      <c r="AQ35" s="62">
        <v>8.2439</v>
      </c>
      <c r="AR35" s="61">
        <v>6.8727</v>
      </c>
      <c r="AS35" s="47">
        <v>8.8038000000000007</v>
      </c>
      <c r="AT35" s="47">
        <v>9.6858000000000004</v>
      </c>
      <c r="AU35" s="36">
        <v>9.5442</v>
      </c>
      <c r="AV35" s="36">
        <v>9.5233000000000008</v>
      </c>
      <c r="AW35" s="36">
        <v>10.605499999999999</v>
      </c>
      <c r="AX35" s="36">
        <v>9.9583999999999993</v>
      </c>
      <c r="AY35" s="36">
        <v>10.4314</v>
      </c>
      <c r="AZ35" s="36">
        <v>10.618600000000001</v>
      </c>
      <c r="BA35" s="36">
        <v>11.490500000000001</v>
      </c>
      <c r="BB35" s="36">
        <v>10.608599999999999</v>
      </c>
      <c r="BC35" s="37">
        <v>10.676299999999999</v>
      </c>
      <c r="BD35" s="35">
        <v>13.0974</v>
      </c>
      <c r="BE35" s="36">
        <v>20.441199999999998</v>
      </c>
      <c r="BF35" s="36">
        <v>15.9095</v>
      </c>
      <c r="BG35" s="36">
        <v>13.2242</v>
      </c>
      <c r="BH35" s="36">
        <v>15.1149</v>
      </c>
      <c r="BI35" s="36">
        <v>15.030200000000001</v>
      </c>
      <c r="BJ35" s="36">
        <v>16.265499999999999</v>
      </c>
      <c r="BK35" s="36">
        <v>16.3431</v>
      </c>
      <c r="BL35" s="36">
        <v>17.208600000000001</v>
      </c>
      <c r="BM35" s="36">
        <v>16.758099999999999</v>
      </c>
      <c r="BN35" s="36">
        <v>17.165800000000001</v>
      </c>
      <c r="BO35" s="37">
        <v>16.4512</v>
      </c>
      <c r="BP35" s="35">
        <v>14.3132</v>
      </c>
      <c r="BQ35" s="36">
        <v>16.314399999999999</v>
      </c>
      <c r="BR35" s="47">
        <v>14.276300000000001</v>
      </c>
      <c r="BS35" s="36">
        <v>10.7658</v>
      </c>
      <c r="BT35" s="36">
        <v>12.1526</v>
      </c>
      <c r="BU35" s="36">
        <f>13.6991-1.284</f>
        <v>12.415099999999999</v>
      </c>
      <c r="BV35" s="36">
        <f>14.1783-1.2977</f>
        <v>12.880599999999999</v>
      </c>
      <c r="BW35" s="36">
        <f>14.0518-1.2838</f>
        <v>12.768000000000001</v>
      </c>
      <c r="BX35" s="36">
        <f>13.5825-1.2118</f>
        <v>12.370699999999999</v>
      </c>
      <c r="BY35" s="36">
        <f>12.7876-1.1476</f>
        <v>11.639999999999999</v>
      </c>
      <c r="BZ35" s="36">
        <f>14.331-1.2615</f>
        <v>13.0695</v>
      </c>
      <c r="CA35" s="38">
        <v>11.239000000000001</v>
      </c>
      <c r="CB35" s="63">
        <v>7.5208000000000004</v>
      </c>
      <c r="CC35" s="44">
        <v>10.1595</v>
      </c>
      <c r="CD35" s="45">
        <v>10.129200000000001</v>
      </c>
      <c r="CE35" s="45">
        <v>10.9625</v>
      </c>
      <c r="CF35" s="44">
        <v>11.4909</v>
      </c>
      <c r="CG35" s="36">
        <v>11.9063</v>
      </c>
      <c r="CH35" s="45">
        <v>8.4741</v>
      </c>
      <c r="CI35" s="45">
        <v>11.4377</v>
      </c>
      <c r="CJ35" s="45">
        <v>11.6692</v>
      </c>
      <c r="CK35" s="51">
        <v>10.317</v>
      </c>
      <c r="CL35" s="51">
        <v>11.3687</v>
      </c>
      <c r="CM35" s="55">
        <v>11.1538</v>
      </c>
      <c r="CN35" s="49">
        <v>11.3843</v>
      </c>
      <c r="CO35" s="51">
        <v>11.7234</v>
      </c>
      <c r="CP35" s="51">
        <v>11.292400000000001</v>
      </c>
      <c r="CQ35" s="51"/>
      <c r="CR35" s="51"/>
      <c r="CS35" s="51"/>
      <c r="CT35" s="51"/>
      <c r="CU35" s="51"/>
      <c r="CV35" s="51"/>
      <c r="CW35" s="51"/>
      <c r="CX35" s="51"/>
      <c r="CY35" s="51"/>
    </row>
    <row r="36" spans="1:103" ht="45" customHeight="1">
      <c r="A36" s="39">
        <v>93</v>
      </c>
      <c r="B36" s="40" t="s">
        <v>162</v>
      </c>
      <c r="C36" s="41" t="s">
        <v>163</v>
      </c>
      <c r="D36" s="41" t="s">
        <v>107</v>
      </c>
      <c r="E36" s="41" t="s">
        <v>135</v>
      </c>
      <c r="F36" s="41" t="s">
        <v>118</v>
      </c>
      <c r="G36" s="42" t="s">
        <v>110</v>
      </c>
      <c r="H36" s="35">
        <v>9.0371000000000006</v>
      </c>
      <c r="I36" s="36">
        <v>8.9428000000000001</v>
      </c>
      <c r="J36" s="36">
        <v>9.6856000000000009</v>
      </c>
      <c r="K36" s="36">
        <v>9.3373000000000008</v>
      </c>
      <c r="L36" s="36">
        <v>9.3132999999999999</v>
      </c>
      <c r="M36" s="36">
        <v>8.7472999999999992</v>
      </c>
      <c r="N36" s="36">
        <v>9.8544999999999998</v>
      </c>
      <c r="O36" s="36">
        <v>9.9695999999999998</v>
      </c>
      <c r="P36" s="36">
        <v>10.3954</v>
      </c>
      <c r="Q36" s="36">
        <v>9.8219999999999992</v>
      </c>
      <c r="R36" s="36">
        <v>9.6563999999999997</v>
      </c>
      <c r="S36" s="37">
        <v>9.7178000000000004</v>
      </c>
      <c r="T36" s="35">
        <v>9.1635000000000009</v>
      </c>
      <c r="U36" s="36">
        <v>10.314500000000001</v>
      </c>
      <c r="V36" s="36">
        <v>9.5978999999999992</v>
      </c>
      <c r="W36" s="36">
        <v>7.9701000000000004</v>
      </c>
      <c r="X36" s="36">
        <v>13.8132</v>
      </c>
      <c r="Y36" s="36">
        <v>9.5259999999999998</v>
      </c>
      <c r="Z36" s="36">
        <v>8.9908999999999999</v>
      </c>
      <c r="AA36" s="36">
        <v>8.4847999999999999</v>
      </c>
      <c r="AB36" s="36">
        <v>7.3632999999999997</v>
      </c>
      <c r="AC36" s="36">
        <v>9.0954999999999995</v>
      </c>
      <c r="AD36" s="36">
        <v>8.9785000000000004</v>
      </c>
      <c r="AE36" s="37">
        <v>8.891</v>
      </c>
      <c r="AF36" s="35">
        <v>8.6155000000000008</v>
      </c>
      <c r="AG36" s="36">
        <v>7.4420000000000002</v>
      </c>
      <c r="AH36" s="36">
        <v>8.7729999999999997</v>
      </c>
      <c r="AI36" s="36">
        <v>9.0277999999999992</v>
      </c>
      <c r="AJ36" s="36">
        <v>8.1753</v>
      </c>
      <c r="AK36" s="36">
        <v>8.0853000000000002</v>
      </c>
      <c r="AL36" s="36">
        <v>8.1685999999999996</v>
      </c>
      <c r="AM36" s="36">
        <v>8.2162000000000006</v>
      </c>
      <c r="AN36" s="36">
        <v>8.1175999999999995</v>
      </c>
      <c r="AO36" s="36">
        <v>7.4359999999999999</v>
      </c>
      <c r="AP36" s="36">
        <v>8.2273999999999994</v>
      </c>
      <c r="AQ36" s="37">
        <v>8.1798000000000002</v>
      </c>
      <c r="AR36" s="35">
        <v>8.0711999999999993</v>
      </c>
      <c r="AS36" s="36">
        <v>9.3089999999999993</v>
      </c>
      <c r="AT36" s="36">
        <v>9.4893000000000001</v>
      </c>
      <c r="AU36" s="36">
        <v>9.0740999999999996</v>
      </c>
      <c r="AV36" s="36">
        <v>9.4640000000000004</v>
      </c>
      <c r="AW36" s="36">
        <v>9.9711999999999996</v>
      </c>
      <c r="AX36" s="36">
        <v>9.8115000000000006</v>
      </c>
      <c r="AY36" s="36">
        <v>10.114699999999999</v>
      </c>
      <c r="AZ36" s="36">
        <v>9.7483000000000004</v>
      </c>
      <c r="BA36" s="36">
        <v>11.199299999999999</v>
      </c>
      <c r="BB36" s="36">
        <v>9.7057000000000002</v>
      </c>
      <c r="BC36" s="37">
        <v>9.9981000000000009</v>
      </c>
      <c r="BD36" s="35">
        <v>10.8429</v>
      </c>
      <c r="BE36" s="36">
        <v>17.379799999999999</v>
      </c>
      <c r="BF36" s="36">
        <v>13.8696</v>
      </c>
      <c r="BG36" s="36">
        <v>10.179399999999999</v>
      </c>
      <c r="BH36" s="36">
        <v>11.2049</v>
      </c>
      <c r="BI36" s="36">
        <v>11.5406</v>
      </c>
      <c r="BJ36" s="36">
        <v>12.2332</v>
      </c>
      <c r="BK36" s="36">
        <v>11.612</v>
      </c>
      <c r="BL36" s="36">
        <v>12.3643</v>
      </c>
      <c r="BM36" s="36">
        <v>12.3459</v>
      </c>
      <c r="BN36" s="36">
        <v>12.4946</v>
      </c>
      <c r="BO36" s="37">
        <v>12.2355</v>
      </c>
      <c r="BP36" s="35">
        <v>11.5472</v>
      </c>
      <c r="BQ36" s="36">
        <v>13.303599999999999</v>
      </c>
      <c r="BR36" s="47">
        <v>12.396800000000001</v>
      </c>
      <c r="BS36" s="36">
        <v>12.419700000000001</v>
      </c>
      <c r="BT36" s="36">
        <v>12.254899999999999</v>
      </c>
      <c r="BU36" s="36">
        <f>13.2443-1.756</f>
        <v>11.488300000000001</v>
      </c>
      <c r="BV36" s="36">
        <f>13.6768-1.3356</f>
        <v>12.341200000000001</v>
      </c>
      <c r="BW36" s="36">
        <v>13.8466</v>
      </c>
      <c r="BX36" s="36">
        <v>14.1532</v>
      </c>
      <c r="BY36" s="36">
        <v>12.3757</v>
      </c>
      <c r="BZ36" s="36">
        <v>13.9001</v>
      </c>
      <c r="CA36" s="38">
        <v>10.795</v>
      </c>
      <c r="CB36" s="52">
        <v>10.327199999999999</v>
      </c>
      <c r="CC36" s="36">
        <v>10.2636</v>
      </c>
      <c r="CD36" s="45">
        <v>10.2951</v>
      </c>
      <c r="CE36" s="45">
        <v>10.9064</v>
      </c>
      <c r="CF36" s="36">
        <v>11.7569</v>
      </c>
      <c r="CG36" s="36">
        <v>9.4893000000000001</v>
      </c>
      <c r="CH36" s="45"/>
      <c r="CI36" s="45">
        <v>13.9642</v>
      </c>
      <c r="CJ36" s="36">
        <v>13.3436</v>
      </c>
      <c r="CK36" s="45">
        <v>11.9938</v>
      </c>
      <c r="CL36" s="45">
        <v>12.219099999999999</v>
      </c>
      <c r="CM36" s="50">
        <v>12.069100000000001</v>
      </c>
      <c r="CN36" s="36">
        <v>12.127599999999999</v>
      </c>
      <c r="CO36" s="45">
        <v>12.1722</v>
      </c>
      <c r="CP36" s="45">
        <v>12.1571</v>
      </c>
      <c r="CQ36" s="45"/>
      <c r="CR36" s="45"/>
      <c r="CS36" s="45"/>
      <c r="CT36" s="45"/>
      <c r="CU36" s="45"/>
      <c r="CV36" s="45"/>
      <c r="CW36" s="45"/>
      <c r="CX36" s="45"/>
      <c r="CY36" s="45"/>
    </row>
    <row r="37" spans="1:103" ht="45" customHeight="1">
      <c r="A37" s="39">
        <v>20</v>
      </c>
      <c r="B37" s="40" t="s">
        <v>164</v>
      </c>
      <c r="C37" s="41" t="s">
        <v>165</v>
      </c>
      <c r="D37" s="41" t="s">
        <v>107</v>
      </c>
      <c r="E37" s="41" t="s">
        <v>166</v>
      </c>
      <c r="F37" s="41" t="s">
        <v>125</v>
      </c>
      <c r="G37" s="42" t="s">
        <v>110</v>
      </c>
      <c r="H37" s="35"/>
      <c r="I37" s="36"/>
      <c r="J37" s="36"/>
      <c r="K37" s="36"/>
      <c r="L37" s="36"/>
      <c r="M37" s="36"/>
      <c r="N37" s="36"/>
      <c r="O37" s="36"/>
      <c r="P37" s="36"/>
      <c r="Q37" s="36"/>
      <c r="R37" s="36"/>
      <c r="S37" s="37"/>
      <c r="T37" s="35"/>
      <c r="U37" s="36"/>
      <c r="V37" s="36">
        <v>10.684699999999999</v>
      </c>
      <c r="W37" s="36">
        <v>10.9679</v>
      </c>
      <c r="X37" s="36">
        <v>10.8093</v>
      </c>
      <c r="Y37" s="36">
        <v>11.0045</v>
      </c>
      <c r="Z37" s="36">
        <v>10.3629</v>
      </c>
      <c r="AA37" s="36">
        <v>10.715199999999999</v>
      </c>
      <c r="AB37" s="36">
        <v>10.726000000000001</v>
      </c>
      <c r="AC37" s="36">
        <v>10.875299999999999</v>
      </c>
      <c r="AD37" s="36">
        <v>10.910299999999999</v>
      </c>
      <c r="AE37" s="37">
        <v>10.787800000000001</v>
      </c>
      <c r="AF37" s="35"/>
      <c r="AG37" s="36"/>
      <c r="AH37" s="36">
        <v>11.2615</v>
      </c>
      <c r="AI37" s="36">
        <v>11.3522</v>
      </c>
      <c r="AJ37" s="36">
        <v>11.284700000000001</v>
      </c>
      <c r="AK37" s="36">
        <v>11.4026</v>
      </c>
      <c r="AL37" s="36">
        <v>11.144600000000001</v>
      </c>
      <c r="AM37" s="36">
        <v>11.144500000000001</v>
      </c>
      <c r="AN37" s="36">
        <v>10.993600000000001</v>
      </c>
      <c r="AO37" s="36">
        <v>10.4291</v>
      </c>
      <c r="AP37" s="36">
        <v>10.745200000000001</v>
      </c>
      <c r="AQ37" s="37">
        <v>10.613799999999999</v>
      </c>
      <c r="AR37" s="35"/>
      <c r="AS37" s="36"/>
      <c r="AT37" s="36">
        <v>11.555</v>
      </c>
      <c r="AU37" s="36">
        <v>11.8574</v>
      </c>
      <c r="AV37" s="36">
        <v>11.3165</v>
      </c>
      <c r="AW37" s="36">
        <v>11.3444</v>
      </c>
      <c r="AX37" s="36">
        <v>11.499000000000001</v>
      </c>
      <c r="AY37" s="36">
        <v>12.1227</v>
      </c>
      <c r="AZ37" s="36">
        <v>12.0182</v>
      </c>
      <c r="BA37" s="36">
        <v>11.788</v>
      </c>
      <c r="BB37" s="36">
        <v>12.0961</v>
      </c>
      <c r="BC37" s="37">
        <v>12.396000000000001</v>
      </c>
      <c r="BD37" s="35">
        <v>12.8347</v>
      </c>
      <c r="BE37" s="36">
        <v>12.7698</v>
      </c>
      <c r="BF37" s="36">
        <v>14.2018</v>
      </c>
      <c r="BG37" s="36">
        <v>14.046200000000001</v>
      </c>
      <c r="BH37" s="36">
        <v>13.7729</v>
      </c>
      <c r="BI37" s="36">
        <v>13.994</v>
      </c>
      <c r="BJ37" s="36">
        <v>15.0556</v>
      </c>
      <c r="BK37" s="36">
        <v>15.1591</v>
      </c>
      <c r="BL37" s="36">
        <v>15.833500000000001</v>
      </c>
      <c r="BM37" s="36">
        <v>15.649800000000001</v>
      </c>
      <c r="BN37" s="36">
        <v>15.365</v>
      </c>
      <c r="BO37" s="37">
        <v>14.922700000000001</v>
      </c>
      <c r="BP37" s="35">
        <v>15.028700000000001</v>
      </c>
      <c r="BQ37" s="36">
        <v>15.0341</v>
      </c>
      <c r="BR37" s="47">
        <v>15.800800000000001</v>
      </c>
      <c r="BS37" s="36">
        <v>13.302</v>
      </c>
      <c r="BT37" s="36">
        <v>13.254200000000001</v>
      </c>
      <c r="BU37" s="36">
        <v>14.405099999999999</v>
      </c>
      <c r="BV37" s="36">
        <v>12.935499999999999</v>
      </c>
      <c r="BW37" s="36">
        <v>12.891</v>
      </c>
      <c r="BX37" s="36">
        <v>11.83</v>
      </c>
      <c r="BY37" s="36">
        <v>11.3118</v>
      </c>
      <c r="BZ37" s="36">
        <v>9.9217999999999993</v>
      </c>
      <c r="CA37" s="38">
        <v>9.7086000000000006</v>
      </c>
      <c r="CB37" s="35">
        <v>9.8475000000000001</v>
      </c>
      <c r="CC37" s="36">
        <v>10.216699999999999</v>
      </c>
      <c r="CD37" s="45">
        <v>9.9435000000000002</v>
      </c>
      <c r="CE37" s="36">
        <v>10.5158</v>
      </c>
      <c r="CF37" s="36">
        <v>10.6043</v>
      </c>
      <c r="CG37" s="36">
        <v>10.189</v>
      </c>
      <c r="CH37" s="36">
        <v>10.509399999999999</v>
      </c>
      <c r="CI37" s="36">
        <v>10.2615</v>
      </c>
      <c r="CJ37" s="36">
        <v>9.6857000000000006</v>
      </c>
      <c r="CK37" s="36">
        <v>9.5443999999999996</v>
      </c>
      <c r="CL37" s="36">
        <v>10.4406</v>
      </c>
      <c r="CM37" s="38">
        <v>10.3611</v>
      </c>
      <c r="CN37" s="54">
        <v>10.052300000000001</v>
      </c>
      <c r="CO37" s="54">
        <v>9.8757000000000001</v>
      </c>
      <c r="CP37" s="54">
        <v>10.028700000000001</v>
      </c>
      <c r="CQ37" s="54"/>
      <c r="CR37" s="54"/>
      <c r="CS37" s="54"/>
      <c r="CT37" s="54"/>
      <c r="CU37" s="54"/>
      <c r="CV37" s="54"/>
      <c r="CW37" s="54"/>
      <c r="CX37" s="54"/>
      <c r="CY37" s="54"/>
    </row>
    <row r="38" spans="1:103" ht="45" customHeight="1">
      <c r="A38" s="39">
        <v>111</v>
      </c>
      <c r="B38" s="40" t="s">
        <v>167</v>
      </c>
      <c r="C38" s="41" t="s">
        <v>168</v>
      </c>
      <c r="D38" s="41" t="s">
        <v>107</v>
      </c>
      <c r="E38" s="41" t="s">
        <v>141</v>
      </c>
      <c r="F38" s="41" t="s">
        <v>109</v>
      </c>
      <c r="G38" s="42" t="s">
        <v>110</v>
      </c>
      <c r="H38" s="35">
        <v>11.8065</v>
      </c>
      <c r="I38" s="36">
        <v>11.483000000000001</v>
      </c>
      <c r="J38" s="36">
        <v>12.0449</v>
      </c>
      <c r="K38" s="36">
        <v>11.575100000000001</v>
      </c>
      <c r="L38" s="36">
        <v>11.8445</v>
      </c>
      <c r="M38" s="36">
        <v>11.0174</v>
      </c>
      <c r="N38" s="36">
        <v>11.004799999999999</v>
      </c>
      <c r="O38" s="36">
        <v>11.129300000000001</v>
      </c>
      <c r="P38" s="36">
        <v>10.265599999999999</v>
      </c>
      <c r="Q38" s="36">
        <v>10.260899999999999</v>
      </c>
      <c r="R38" s="36">
        <v>11.050599999999999</v>
      </c>
      <c r="S38" s="37">
        <v>10.8931</v>
      </c>
      <c r="T38" s="35">
        <v>11.038600000000001</v>
      </c>
      <c r="U38" s="36">
        <v>11.349600000000001</v>
      </c>
      <c r="V38" s="36">
        <v>10.882300000000001</v>
      </c>
      <c r="W38" s="36">
        <v>11.424099999999999</v>
      </c>
      <c r="X38" s="36">
        <v>12.000500000000001</v>
      </c>
      <c r="Y38" s="36">
        <v>11.4405</v>
      </c>
      <c r="Z38" s="36">
        <v>11.368600000000001</v>
      </c>
      <c r="AA38" s="36">
        <v>10.657</v>
      </c>
      <c r="AB38" s="36">
        <v>10.087999999999999</v>
      </c>
      <c r="AC38" s="36">
        <v>10.185499999999999</v>
      </c>
      <c r="AD38" s="36">
        <v>10.218500000000001</v>
      </c>
      <c r="AE38" s="37">
        <v>10.6477</v>
      </c>
      <c r="AF38" s="35">
        <v>11.200699999999999</v>
      </c>
      <c r="AG38" s="36">
        <v>10.6557</v>
      </c>
      <c r="AH38" s="36">
        <v>10.863099999999999</v>
      </c>
      <c r="AI38" s="36">
        <v>9.9158000000000008</v>
      </c>
      <c r="AJ38" s="36">
        <v>9.8475999999999999</v>
      </c>
      <c r="AK38" s="36">
        <v>9.2485999999999997</v>
      </c>
      <c r="AL38" s="36">
        <v>9.7040000000000006</v>
      </c>
      <c r="AM38" s="36">
        <v>8.3003999999999998</v>
      </c>
      <c r="AN38" s="36">
        <v>8.3331999999999997</v>
      </c>
      <c r="AO38" s="36">
        <v>8.5724</v>
      </c>
      <c r="AP38" s="36">
        <v>7.0753000000000004</v>
      </c>
      <c r="AQ38" s="37">
        <v>8.1875</v>
      </c>
      <c r="AR38" s="35">
        <v>9.7721</v>
      </c>
      <c r="AS38" s="36">
        <v>10.02</v>
      </c>
      <c r="AT38" s="36">
        <v>9.8267000000000007</v>
      </c>
      <c r="AU38" s="36">
        <v>10.414400000000001</v>
      </c>
      <c r="AV38" s="36">
        <v>11.472899999999999</v>
      </c>
      <c r="AW38" s="36">
        <v>11.0404</v>
      </c>
      <c r="AX38" s="36">
        <v>11.3612</v>
      </c>
      <c r="AY38" s="36">
        <v>10.9588</v>
      </c>
      <c r="AZ38" s="36">
        <v>10.9946</v>
      </c>
      <c r="BA38" s="36">
        <v>10.908200000000001</v>
      </c>
      <c r="BB38" s="36">
        <v>11.550700000000001</v>
      </c>
      <c r="BC38" s="37">
        <v>11.4358</v>
      </c>
      <c r="BD38" s="35">
        <v>13.725899999999999</v>
      </c>
      <c r="BE38" s="36">
        <v>13.496700000000001</v>
      </c>
      <c r="BF38" s="36">
        <v>13.041</v>
      </c>
      <c r="BG38" s="36">
        <v>13.308299999999999</v>
      </c>
      <c r="BH38" s="36">
        <v>13.049099999999999</v>
      </c>
      <c r="BI38" s="36">
        <v>13.9711</v>
      </c>
      <c r="BJ38" s="36">
        <v>14.651400000000001</v>
      </c>
      <c r="BK38" s="36">
        <v>14.794499999999999</v>
      </c>
      <c r="BL38" s="36">
        <v>14.678800000000001</v>
      </c>
      <c r="BM38" s="36">
        <v>16.1861</v>
      </c>
      <c r="BN38" s="36">
        <v>16.7607</v>
      </c>
      <c r="BO38" s="37">
        <v>16.469000000000001</v>
      </c>
      <c r="BP38" s="35">
        <v>15.228</v>
      </c>
      <c r="BQ38" s="36">
        <v>15.801</v>
      </c>
      <c r="BR38" s="36">
        <v>15.930400000000001</v>
      </c>
      <c r="BS38" s="36">
        <v>15.655099999999999</v>
      </c>
      <c r="BT38" s="36">
        <v>14.5025</v>
      </c>
      <c r="BU38" s="36">
        <f>8.4151+0.582+0.9977+0.5762+0.6001+0.4326+0.2216+0.0017+0.0337+0.0003+0.2904+(0.8485+0.0695+0.1018)</f>
        <v>13.171200000000001</v>
      </c>
      <c r="BV38" s="36">
        <f>7.6009+0.5835+0.6883+0.5782+0.6001+0.4326+0.2216+0.0017+0.0428+0.0279+0.0003+0.2904</f>
        <v>11.068300000000001</v>
      </c>
      <c r="BW38" s="36">
        <f>7.3163+0.5843+0.6306+0.5782+0.4326+0.2216+0.0017+0.0428+0.0268+0.0003+0.02904+0.7888+0.0692+0.0902</f>
        <v>10.81244</v>
      </c>
      <c r="BX38" s="36">
        <v>8.9662000000000006</v>
      </c>
      <c r="BY38" s="36">
        <f>6.6421+0.7261+0.6716+0.0803+0.8044+0.0887+0.5782+0.6001+0.4326+0.2477+0.0428+0.0364+0.0206+0.0002+0.2904</f>
        <v>11.262199999999998</v>
      </c>
      <c r="BZ38" s="36">
        <f>6.6521+0.7689+0.8073+0.5782+0.6001+0.4326+0.2477+0.0017+0.0428+0.0254+0.0003+0.2904</f>
        <v>10.4475</v>
      </c>
      <c r="CA38" s="38">
        <f>6.6082+0.7197+0.9013+0.1038+0.7527+0.0826+0.5782+0.6001+0.4326+0.2477+0.0017+0.0428+0.0328+0.0003+0.2904</f>
        <v>11.394899999999998</v>
      </c>
      <c r="CB38" s="63">
        <v>11.613400000000002</v>
      </c>
      <c r="CC38" s="45">
        <v>10.778700000000001</v>
      </c>
      <c r="CD38" s="51">
        <v>11.333500000000003</v>
      </c>
      <c r="CE38" s="36">
        <f>6.948-0.0128+0.7275+0.7958+0.092+0.6202+0.0668+0.5782+0.6001+0.4326+0.2477+0.0017+0.0428+0.0364+0.0007+0.0004+0.2904</f>
        <v>11.468500000000004</v>
      </c>
      <c r="CF38" s="45">
        <f>7.267-0.0144+0.07622+0.6189+0.0714+0.8383+0.0886+0.57882+0.6001+0.4326+0.2238+0.0017+0.0428+0.0384+0.0002+0.0003+0.2904</f>
        <v>11.155139999999999</v>
      </c>
      <c r="CG38" s="36">
        <f>7.4887-0.0115+0.7856+0.0841+0.8855+0.0908+0.5782+0.6001+0.4326+0.2238+0.0428+0.0364+0.0002+0.0003+0.2904</f>
        <v>11.528</v>
      </c>
      <c r="CH38" s="36">
        <f>6.7195-0.0131+0.6965+0.5894+0.0632+0.7765+0.0807+0.5782+0.6001+0.4326+0.2238+0.0017+0.0428+0.0838+0.0002+0.0003+0.2904</f>
        <v>11.166600000000001</v>
      </c>
      <c r="CI38" s="36">
        <f>6.4577-0.0121+0.7661+0.7454+0.5782+0.6001+0.4326+0.1805+0.0017+0.0428+0.0838+0.0474+0.0002+0.0003+0.2904</f>
        <v>10.215099999999998</v>
      </c>
      <c r="CJ38" s="36">
        <f>6.4732-0.0149+0.6756+1.083+0.1169+0.7709+0.0811+0.5782+0.6001+0.4326+0.1805+0.0017+0.0428+0.0838+0.0002+0.0003+0.2904</f>
        <v>11.396399999999998</v>
      </c>
      <c r="CK38" s="51">
        <f>5.8402-0.0128+0.6189+1.0254+0.1169+0.7022+0.0752+0.5782+0.6001+0.4326+0.1805+0.0017+0.0428+0.0838+0.0002+0.0004+0.2904</f>
        <v>10.576700000000002</v>
      </c>
      <c r="CL38" s="51">
        <f>6.2195-0.0159+0.6606+1.2147+0.1346+0.7682+0.0822+0.5782+0.6001+0.4326+0.1805+0.0017+0.0428+0.0838+0.0002+0.0003+0.2904</f>
        <v>11.2745</v>
      </c>
      <c r="CM38" s="55">
        <f>6.3638-0.0151+0.6802+1.0649+0.1221+0.7869+0.085+0.5782+0.6001+0.4326+0.1805+0.0017+0.0428+0.0838+0.0003+0.0004+0.2904</f>
        <v>11.2986</v>
      </c>
      <c r="CN38" s="36">
        <f>6.4516-0.0211+0.7021+1.1196+0.1231+0.7667+0.0858+0.5782+0.6001+0.4326+0.1805+0.0017+0.0428+0.0838+0.0005+0.0004+0.2904</f>
        <v>11.438800000000004</v>
      </c>
      <c r="CO38" s="51">
        <f>6.6894-0.0206+1.2632+0.822+0.5782+0.6001+0.4326+0.1949+0.0044+0.0428+0.0838+0.0005+0.0005+0.2904</f>
        <v>10.982200000000002</v>
      </c>
      <c r="CP38" s="64">
        <f>6.6053-0.0193+0.7088+1.3483+0.1466+0.7804+0.0839+0.5782+0.6001+0.4326+0.1949+0.0044+0.0428+0.1189+0.0006+0.0004+0.2904</f>
        <v>11.917300000000003</v>
      </c>
      <c r="CQ38" s="51"/>
      <c r="CR38" s="51"/>
      <c r="CS38" s="51"/>
      <c r="CT38" s="51"/>
      <c r="CU38" s="51"/>
      <c r="CV38" s="51"/>
      <c r="CW38" s="51"/>
      <c r="CX38" s="51"/>
      <c r="CY38" s="51"/>
    </row>
    <row r="39" spans="1:103" ht="45" customHeight="1">
      <c r="A39" s="39">
        <v>40</v>
      </c>
      <c r="B39" s="40" t="s">
        <v>169</v>
      </c>
      <c r="C39" s="41" t="s">
        <v>170</v>
      </c>
      <c r="D39" s="41" t="s">
        <v>107</v>
      </c>
      <c r="E39" s="41" t="s">
        <v>141</v>
      </c>
      <c r="F39" s="41" t="s">
        <v>109</v>
      </c>
      <c r="G39" s="42" t="s">
        <v>110</v>
      </c>
      <c r="H39" s="35"/>
      <c r="I39" s="36"/>
      <c r="J39" s="36"/>
      <c r="K39" s="36"/>
      <c r="L39" s="36"/>
      <c r="M39" s="36"/>
      <c r="N39" s="36"/>
      <c r="O39" s="36"/>
      <c r="P39" s="36"/>
      <c r="Q39" s="36"/>
      <c r="R39" s="36"/>
      <c r="S39" s="35"/>
      <c r="T39" s="35"/>
      <c r="U39" s="36"/>
      <c r="V39" s="36"/>
      <c r="W39" s="36"/>
      <c r="X39" s="36"/>
      <c r="Y39" s="36"/>
      <c r="Z39" s="36"/>
      <c r="AA39" s="36"/>
      <c r="AB39" s="36"/>
      <c r="AC39" s="36"/>
      <c r="AD39" s="36"/>
      <c r="AE39" s="37"/>
      <c r="AF39" s="35"/>
      <c r="AG39" s="36"/>
      <c r="AH39" s="36"/>
      <c r="AI39" s="36"/>
      <c r="AJ39" s="36"/>
      <c r="AK39" s="36"/>
      <c r="AL39" s="36"/>
      <c r="AM39" s="36"/>
      <c r="AN39" s="36"/>
      <c r="AO39" s="36">
        <v>8.9801000000000002</v>
      </c>
      <c r="AP39" s="36"/>
      <c r="AQ39" s="37"/>
      <c r="AR39" s="35"/>
      <c r="AS39" s="36">
        <v>9.9753000000000007</v>
      </c>
      <c r="AT39" s="36">
        <v>9.9242000000000008</v>
      </c>
      <c r="AU39" s="36">
        <v>10.210800000000001</v>
      </c>
      <c r="AV39" s="36"/>
      <c r="AW39" s="36">
        <v>11.874599999999999</v>
      </c>
      <c r="AX39" s="36">
        <v>12.1622</v>
      </c>
      <c r="AY39" s="36">
        <v>12.6082</v>
      </c>
      <c r="AZ39" s="36"/>
      <c r="BA39" s="36"/>
      <c r="BB39" s="36"/>
      <c r="BC39" s="37"/>
      <c r="BD39" s="35">
        <v>14.654400000000001</v>
      </c>
      <c r="BE39" s="36">
        <v>14.9948</v>
      </c>
      <c r="BF39" s="36">
        <v>12.4802</v>
      </c>
      <c r="BG39" s="36">
        <v>13.0379</v>
      </c>
      <c r="BH39" s="36">
        <v>13.080500000000001</v>
      </c>
      <c r="BI39" s="36">
        <v>13.787699999999999</v>
      </c>
      <c r="BJ39" s="36">
        <v>14.2888</v>
      </c>
      <c r="BK39" s="36">
        <v>14.492699999999999</v>
      </c>
      <c r="BL39" s="36">
        <v>13.998699999999999</v>
      </c>
      <c r="BM39" s="36">
        <v>15.328900000000001</v>
      </c>
      <c r="BN39" s="36">
        <v>15.5853</v>
      </c>
      <c r="BO39" s="37">
        <v>14.8459</v>
      </c>
      <c r="BP39" s="35">
        <v>13.140700000000001</v>
      </c>
      <c r="BQ39" s="36">
        <v>15.4773</v>
      </c>
      <c r="BR39" s="36">
        <v>12.4819</v>
      </c>
      <c r="BS39" s="36">
        <v>13.0379</v>
      </c>
      <c r="BT39" s="36">
        <v>13.080500000000001</v>
      </c>
      <c r="BU39" s="36">
        <v>15.0434</v>
      </c>
      <c r="BV39" s="36">
        <v>13.1416</v>
      </c>
      <c r="BW39" s="36">
        <v>12.332599999999999</v>
      </c>
      <c r="BX39" s="36">
        <v>12.7187</v>
      </c>
      <c r="BY39" s="36">
        <v>11.038399999999999</v>
      </c>
      <c r="BZ39" s="36">
        <v>7.7826000000000004</v>
      </c>
      <c r="CA39" s="38">
        <v>10.3307</v>
      </c>
      <c r="CB39" s="35">
        <v>10.5946</v>
      </c>
      <c r="CC39" s="36">
        <v>11.184200000000001</v>
      </c>
      <c r="CD39" s="45">
        <v>11.8606</v>
      </c>
      <c r="CE39" s="36">
        <v>10.7233</v>
      </c>
      <c r="CF39" s="36">
        <v>11.005100000000001</v>
      </c>
      <c r="CG39" s="36">
        <v>9.9593000000000007</v>
      </c>
      <c r="CH39" s="36">
        <v>11.175599999999999</v>
      </c>
      <c r="CI39" s="36">
        <v>11.5113</v>
      </c>
      <c r="CJ39" s="36">
        <v>11.5052</v>
      </c>
      <c r="CK39" s="36">
        <v>10.369400000000001</v>
      </c>
      <c r="CL39" s="36">
        <v>11.0975</v>
      </c>
      <c r="CM39" s="38">
        <v>11.114599999999999</v>
      </c>
      <c r="CN39" s="36">
        <v>11.7774</v>
      </c>
      <c r="CO39" s="36">
        <v>12.1189</v>
      </c>
      <c r="CP39" s="36">
        <v>10.561400000000001</v>
      </c>
      <c r="CQ39" s="36"/>
      <c r="CR39" s="36"/>
      <c r="CS39" s="36"/>
      <c r="CT39" s="36"/>
      <c r="CU39" s="36"/>
      <c r="CV39" s="36"/>
      <c r="CW39" s="36"/>
      <c r="CX39" s="36"/>
      <c r="CY39" s="36"/>
    </row>
    <row r="40" spans="1:103" ht="45" customHeight="1">
      <c r="A40" s="39">
        <v>77</v>
      </c>
      <c r="B40" s="40" t="s">
        <v>171</v>
      </c>
      <c r="C40" s="41" t="s">
        <v>172</v>
      </c>
      <c r="D40" s="41" t="s">
        <v>107</v>
      </c>
      <c r="E40" s="41" t="s">
        <v>166</v>
      </c>
      <c r="F40" s="41" t="s">
        <v>125</v>
      </c>
      <c r="G40" s="42" t="s">
        <v>110</v>
      </c>
      <c r="H40" s="35">
        <v>15.0402</v>
      </c>
      <c r="I40" s="36">
        <v>15.050700000000001</v>
      </c>
      <c r="J40" s="36">
        <v>15.311500000000001</v>
      </c>
      <c r="K40" s="36">
        <v>15.344900000000001</v>
      </c>
      <c r="L40" s="36">
        <v>15.308199999999999</v>
      </c>
      <c r="M40" s="36">
        <v>14.975</v>
      </c>
      <c r="N40" s="36">
        <v>14.7416</v>
      </c>
      <c r="O40" s="36">
        <v>16.115100000000002</v>
      </c>
      <c r="P40" s="36">
        <v>14.6761</v>
      </c>
      <c r="Q40" s="36">
        <v>16.0716</v>
      </c>
      <c r="R40" s="36">
        <v>16.229199999999999</v>
      </c>
      <c r="S40" s="37">
        <v>16.192399999999999</v>
      </c>
      <c r="T40" s="35">
        <v>16.0929</v>
      </c>
      <c r="U40" s="36">
        <v>15.8377</v>
      </c>
      <c r="V40" s="36">
        <v>15.6973</v>
      </c>
      <c r="W40" s="36">
        <v>16.159099999999999</v>
      </c>
      <c r="X40" s="36">
        <v>15.091699999999999</v>
      </c>
      <c r="Y40" s="36">
        <v>15.4823</v>
      </c>
      <c r="Z40" s="36">
        <v>15.429399999999999</v>
      </c>
      <c r="AA40" s="36">
        <v>15.883100000000001</v>
      </c>
      <c r="AB40" s="36">
        <v>15.3567</v>
      </c>
      <c r="AC40" s="36">
        <v>15.301600000000001</v>
      </c>
      <c r="AD40" s="36">
        <v>15.359</v>
      </c>
      <c r="AE40" s="37">
        <v>15.1568</v>
      </c>
      <c r="AF40" s="35">
        <v>15.4877</v>
      </c>
      <c r="AG40" s="36">
        <v>15.1029</v>
      </c>
      <c r="AH40" s="36">
        <v>14.828900000000001</v>
      </c>
      <c r="AI40" s="36">
        <v>15.2164</v>
      </c>
      <c r="AJ40" s="36">
        <v>14.373799999999999</v>
      </c>
      <c r="AK40" s="36">
        <v>14.3619</v>
      </c>
      <c r="AL40" s="36">
        <v>14.355</v>
      </c>
      <c r="AM40" s="36">
        <v>14.555099999999999</v>
      </c>
      <c r="AN40" s="36">
        <v>14.550599999999999</v>
      </c>
      <c r="AO40" s="36">
        <v>14.2521</v>
      </c>
      <c r="AP40" s="36">
        <v>14.345599999999999</v>
      </c>
      <c r="AQ40" s="37">
        <v>14.3683</v>
      </c>
      <c r="AR40" s="35">
        <v>14.631600000000001</v>
      </c>
      <c r="AS40" s="36">
        <v>14.6548</v>
      </c>
      <c r="AT40" s="36">
        <v>14.6387</v>
      </c>
      <c r="AU40" s="36">
        <v>14.658300000000001</v>
      </c>
      <c r="AV40" s="36">
        <v>14.658300000000001</v>
      </c>
      <c r="AW40" s="36">
        <v>14.6594</v>
      </c>
      <c r="AX40" s="36">
        <v>14.659700000000001</v>
      </c>
      <c r="AY40" s="36">
        <v>14.6569</v>
      </c>
      <c r="AZ40" s="36">
        <v>15.0932</v>
      </c>
      <c r="BA40" s="36">
        <v>15.3759</v>
      </c>
      <c r="BB40" s="36">
        <v>15.5867</v>
      </c>
      <c r="BC40" s="37">
        <v>15.6576</v>
      </c>
      <c r="BD40" s="35">
        <v>15.64</v>
      </c>
      <c r="BE40" s="36">
        <v>17.2789</v>
      </c>
      <c r="BF40" s="36">
        <v>16.709700000000002</v>
      </c>
      <c r="BG40" s="36">
        <v>16.802399999999999</v>
      </c>
      <c r="BH40" s="36">
        <v>16.267099999999999</v>
      </c>
      <c r="BI40" s="36">
        <v>16.131599999999999</v>
      </c>
      <c r="BJ40" s="36">
        <v>16.7212</v>
      </c>
      <c r="BK40" s="36">
        <v>16.604500000000002</v>
      </c>
      <c r="BL40" s="36">
        <v>16.541599999999999</v>
      </c>
      <c r="BM40" s="36">
        <v>16.482399999999998</v>
      </c>
      <c r="BN40" s="36">
        <v>14.4612</v>
      </c>
      <c r="BO40" s="37">
        <v>16.237200000000001</v>
      </c>
      <c r="BP40" s="35">
        <v>11.8432</v>
      </c>
      <c r="BQ40" s="36">
        <v>13.8805</v>
      </c>
      <c r="BR40" s="36">
        <v>13.8344</v>
      </c>
      <c r="BS40" s="36">
        <v>14.860099999999999</v>
      </c>
      <c r="BT40" s="36">
        <v>13.8064</v>
      </c>
      <c r="BU40" s="36">
        <v>14.514099999999999</v>
      </c>
      <c r="BV40" s="36">
        <v>12.8634</v>
      </c>
      <c r="BW40" s="36">
        <v>13.0472</v>
      </c>
      <c r="BX40" s="36">
        <v>13.069800000000001</v>
      </c>
      <c r="BY40" s="36">
        <v>13.586600000000001</v>
      </c>
      <c r="BZ40" s="36">
        <v>13.524900000000001</v>
      </c>
      <c r="CA40" s="38">
        <v>12.3748</v>
      </c>
      <c r="CB40" s="52">
        <v>13.094799999999999</v>
      </c>
      <c r="CC40" s="45">
        <v>12.8491</v>
      </c>
      <c r="CD40" s="45">
        <v>13.6097</v>
      </c>
      <c r="CE40" s="36">
        <v>13.354900000000001</v>
      </c>
      <c r="CF40" s="36">
        <v>12.9033</v>
      </c>
      <c r="CG40" s="36">
        <v>13.9717</v>
      </c>
      <c r="CH40" s="36">
        <v>14.8706</v>
      </c>
      <c r="CI40" s="51">
        <v>15.3353</v>
      </c>
      <c r="CJ40" s="36">
        <v>14.1327</v>
      </c>
      <c r="CK40" s="51">
        <v>13.595000000000001</v>
      </c>
      <c r="CL40" s="51">
        <v>14.392799999999999</v>
      </c>
      <c r="CM40" s="55">
        <v>13.575100000000001</v>
      </c>
      <c r="CN40" s="65">
        <v>13.351100000000001</v>
      </c>
      <c r="CO40" s="65">
        <v>13.060499999999999</v>
      </c>
      <c r="CP40" s="65">
        <v>13.0627</v>
      </c>
      <c r="CQ40" s="65"/>
      <c r="CR40" s="65"/>
      <c r="CS40" s="65"/>
      <c r="CT40" s="65"/>
      <c r="CU40" s="65"/>
      <c r="CV40" s="65"/>
      <c r="CW40" s="65"/>
      <c r="CX40" s="65"/>
      <c r="CY40" s="65"/>
    </row>
    <row r="41" spans="1:103" ht="45" customHeight="1">
      <c r="A41" s="39">
        <v>22</v>
      </c>
      <c r="B41" s="40" t="s">
        <v>173</v>
      </c>
      <c r="C41" s="41" t="s">
        <v>174</v>
      </c>
      <c r="D41" s="41" t="s">
        <v>107</v>
      </c>
      <c r="E41" s="41" t="s">
        <v>121</v>
      </c>
      <c r="F41" s="41" t="s">
        <v>109</v>
      </c>
      <c r="G41" s="42" t="s">
        <v>110</v>
      </c>
      <c r="H41" s="35">
        <v>6.1596000000000002</v>
      </c>
      <c r="I41" s="36">
        <v>6.1948999999999996</v>
      </c>
      <c r="J41" s="36">
        <v>7.343</v>
      </c>
      <c r="K41" s="36">
        <v>7.7922000000000002</v>
      </c>
      <c r="L41" s="36">
        <v>7.0412999999999997</v>
      </c>
      <c r="M41" s="36">
        <v>7.2793999999999999</v>
      </c>
      <c r="N41" s="36">
        <v>7.3288000000000002</v>
      </c>
      <c r="O41" s="36">
        <v>7.3342000000000001</v>
      </c>
      <c r="P41" s="36">
        <v>6.5019999999999998</v>
      </c>
      <c r="Q41" s="36">
        <v>6.6707999999999998</v>
      </c>
      <c r="R41" s="36">
        <v>7.0812999999999997</v>
      </c>
      <c r="S41" s="37">
        <v>6.5690999999999997</v>
      </c>
      <c r="T41" s="35">
        <v>6.3791000000000002</v>
      </c>
      <c r="U41" s="36">
        <v>7.5829000000000004</v>
      </c>
      <c r="V41" s="36">
        <v>6.8944999999999999</v>
      </c>
      <c r="W41" s="36">
        <v>7.3262</v>
      </c>
      <c r="X41" s="36">
        <v>7.0412999999999997</v>
      </c>
      <c r="Y41" s="36">
        <v>8.4899000000000004</v>
      </c>
      <c r="Z41" s="36">
        <v>7.9295999999999998</v>
      </c>
      <c r="AA41" s="36">
        <v>7.2541000000000002</v>
      </c>
      <c r="AB41" s="36">
        <v>6.4701000000000004</v>
      </c>
      <c r="AC41" s="36">
        <v>6.5209999999999999</v>
      </c>
      <c r="AD41" s="36">
        <v>6.8677000000000001</v>
      </c>
      <c r="AE41" s="37">
        <v>7.1913</v>
      </c>
      <c r="AF41" s="35">
        <v>7.4748000000000001</v>
      </c>
      <c r="AG41" s="36">
        <v>5.7523</v>
      </c>
      <c r="AH41" s="36">
        <v>6.3887</v>
      </c>
      <c r="AI41" s="36">
        <v>6.4066999999999998</v>
      </c>
      <c r="AJ41" s="36">
        <v>8.4899000000000004</v>
      </c>
      <c r="AK41" s="36">
        <v>6.3545999999999996</v>
      </c>
      <c r="AL41" s="36">
        <v>6.2675000000000001</v>
      </c>
      <c r="AM41" s="36">
        <v>6.0354000000000001</v>
      </c>
      <c r="AN41" s="36">
        <v>5.9039999999999999</v>
      </c>
      <c r="AO41" s="36">
        <v>6.3338999999999999</v>
      </c>
      <c r="AP41" s="36">
        <v>6.0536000000000003</v>
      </c>
      <c r="AQ41" s="37">
        <v>7.1561000000000003</v>
      </c>
      <c r="AR41" s="35">
        <v>6.6254</v>
      </c>
      <c r="AS41" s="36">
        <v>6.6455000000000002</v>
      </c>
      <c r="AT41" s="36">
        <v>6.5864000000000003</v>
      </c>
      <c r="AU41" s="36">
        <v>7.1083999999999996</v>
      </c>
      <c r="AV41" s="36">
        <v>6.5431999999999997</v>
      </c>
      <c r="AW41" s="36">
        <v>8.1248000000000005</v>
      </c>
      <c r="AX41" s="36">
        <v>8.1073000000000004</v>
      </c>
      <c r="AY41" s="36">
        <v>8.0823</v>
      </c>
      <c r="AZ41" s="36">
        <v>8.0525000000000002</v>
      </c>
      <c r="BA41" s="36">
        <v>8.1351999999999993</v>
      </c>
      <c r="BB41" s="36">
        <v>8.7228999999999992</v>
      </c>
      <c r="BC41" s="37">
        <v>8.9832999999999998</v>
      </c>
      <c r="BD41" s="35">
        <v>8.7291000000000007</v>
      </c>
      <c r="BE41" s="36">
        <v>8.76</v>
      </c>
      <c r="BF41" s="36">
        <v>9.0719999999999992</v>
      </c>
      <c r="BG41" s="36">
        <v>10.016400000000001</v>
      </c>
      <c r="BH41" s="36">
        <v>10.575699999999999</v>
      </c>
      <c r="BI41" s="36">
        <v>11.039</v>
      </c>
      <c r="BJ41" s="36">
        <v>12.1874</v>
      </c>
      <c r="BK41" s="36">
        <v>12.091200000000001</v>
      </c>
      <c r="BL41" s="36">
        <v>14.0421</v>
      </c>
      <c r="BM41" s="36">
        <v>14.658300000000001</v>
      </c>
      <c r="BN41" s="36">
        <v>15.2065</v>
      </c>
      <c r="BO41" s="37">
        <v>14.581099999999999</v>
      </c>
      <c r="BP41" s="35">
        <v>14.165800000000001</v>
      </c>
      <c r="BQ41" s="36">
        <v>13.591200000000001</v>
      </c>
      <c r="BR41" s="47">
        <v>12.8141</v>
      </c>
      <c r="BS41" s="36">
        <v>12.4122</v>
      </c>
      <c r="BT41" s="36">
        <v>12.087899999999999</v>
      </c>
      <c r="BU41" s="36">
        <v>12.713900000000001</v>
      </c>
      <c r="BV41" s="36">
        <v>10.8588</v>
      </c>
      <c r="BW41" s="36">
        <v>11.1388</v>
      </c>
      <c r="BX41" s="36">
        <v>10.2493</v>
      </c>
      <c r="BY41" s="36">
        <v>10.803900000000001</v>
      </c>
      <c r="BZ41" s="36">
        <v>7.4375999999999998</v>
      </c>
      <c r="CA41" s="38">
        <v>10.079599999999999</v>
      </c>
      <c r="CB41" s="51">
        <v>9.2228999999999992</v>
      </c>
      <c r="CC41" s="36">
        <v>10.070499999999999</v>
      </c>
      <c r="CD41" s="36">
        <v>10.1393</v>
      </c>
      <c r="CE41" s="57">
        <v>9.7232000000000003</v>
      </c>
      <c r="CF41" s="36">
        <v>9.8045000000000009</v>
      </c>
      <c r="CG41" s="36">
        <v>9.1600999999999999</v>
      </c>
      <c r="CH41" s="36">
        <v>10.357799999999999</v>
      </c>
      <c r="CI41" s="36">
        <v>10.4777</v>
      </c>
      <c r="CJ41" s="36">
        <v>11.017300000000001</v>
      </c>
      <c r="CK41" s="36">
        <v>10.1774</v>
      </c>
      <c r="CL41" s="36">
        <v>10.202299999999999</v>
      </c>
      <c r="CM41" s="56">
        <v>10.0345</v>
      </c>
      <c r="CN41" s="54">
        <v>9.6343999999999994</v>
      </c>
      <c r="CO41" s="66">
        <v>9.6960999999999995</v>
      </c>
      <c r="CP41" s="66">
        <v>9.7621000000000002</v>
      </c>
      <c r="CQ41" s="66"/>
      <c r="CR41" s="66"/>
      <c r="CS41" s="66"/>
      <c r="CT41" s="66"/>
      <c r="CU41" s="66"/>
      <c r="CV41" s="66"/>
      <c r="CW41" s="66"/>
      <c r="CX41" s="66"/>
      <c r="CY41" s="66"/>
    </row>
    <row r="42" spans="1:103" ht="45" customHeight="1">
      <c r="A42" s="39">
        <v>76</v>
      </c>
      <c r="B42" s="40" t="s">
        <v>175</v>
      </c>
      <c r="C42" s="41" t="s">
        <v>176</v>
      </c>
      <c r="D42" s="41" t="s">
        <v>107</v>
      </c>
      <c r="E42" s="41" t="s">
        <v>117</v>
      </c>
      <c r="F42" s="41" t="s">
        <v>118</v>
      </c>
      <c r="G42" s="42" t="s">
        <v>110</v>
      </c>
      <c r="H42" s="35">
        <v>10.520099999999999</v>
      </c>
      <c r="I42" s="36">
        <v>9.9966000000000008</v>
      </c>
      <c r="J42" s="36">
        <v>10.540800000000001</v>
      </c>
      <c r="K42" s="36">
        <v>12.1859</v>
      </c>
      <c r="L42" s="36">
        <v>11.0045</v>
      </c>
      <c r="M42" s="36">
        <v>10.3988</v>
      </c>
      <c r="N42" s="36">
        <v>10.4612</v>
      </c>
      <c r="O42" s="36">
        <v>10.168100000000001</v>
      </c>
      <c r="P42" s="36">
        <v>9.6166999999999998</v>
      </c>
      <c r="Q42" s="36">
        <v>9.9065999999999992</v>
      </c>
      <c r="R42" s="36">
        <v>9.9921000000000006</v>
      </c>
      <c r="S42" s="37">
        <v>9.9918999999999993</v>
      </c>
      <c r="T42" s="35">
        <v>9.9274000000000004</v>
      </c>
      <c r="U42" s="36">
        <v>10.7204</v>
      </c>
      <c r="V42" s="36">
        <v>11.179399999999999</v>
      </c>
      <c r="W42" s="36">
        <v>10.811400000000001</v>
      </c>
      <c r="X42" s="36">
        <v>11.2547</v>
      </c>
      <c r="Y42" s="36">
        <v>10.9794</v>
      </c>
      <c r="Z42" s="36">
        <v>11.7012</v>
      </c>
      <c r="AA42" s="36">
        <v>10.855700000000001</v>
      </c>
      <c r="AB42" s="36">
        <v>9.7235999999999994</v>
      </c>
      <c r="AC42" s="36">
        <v>9.3112999999999992</v>
      </c>
      <c r="AD42" s="36">
        <v>9.7708999999999993</v>
      </c>
      <c r="AE42" s="36">
        <v>10.387</v>
      </c>
      <c r="AF42" s="36">
        <v>12.171099999999999</v>
      </c>
      <c r="AG42" s="36">
        <v>8.0679999999999996</v>
      </c>
      <c r="AH42" s="36">
        <v>7.5872999999999999</v>
      </c>
      <c r="AI42" s="36">
        <v>7.5065</v>
      </c>
      <c r="AJ42" s="36">
        <v>9.3516999999999992</v>
      </c>
      <c r="AK42" s="36">
        <v>9.1189999999999998</v>
      </c>
      <c r="AL42" s="36">
        <v>8.1968999999999994</v>
      </c>
      <c r="AM42" s="36">
        <v>7.7666000000000004</v>
      </c>
      <c r="AN42" s="36">
        <v>7.7252000000000001</v>
      </c>
      <c r="AO42" s="36">
        <v>8.2011000000000003</v>
      </c>
      <c r="AP42" s="36">
        <v>8.6531000000000002</v>
      </c>
      <c r="AQ42" s="36">
        <v>10.0326</v>
      </c>
      <c r="AR42" s="35">
        <v>7.7987000000000002</v>
      </c>
      <c r="AS42" s="36">
        <v>8.7903000000000002</v>
      </c>
      <c r="AT42" s="36">
        <v>8.9074000000000009</v>
      </c>
      <c r="AU42" s="36">
        <v>8.7566000000000006</v>
      </c>
      <c r="AV42" s="36">
        <v>8.2321000000000009</v>
      </c>
      <c r="AW42" s="36">
        <v>8.3310999999999993</v>
      </c>
      <c r="AX42" s="36">
        <v>8.0439000000000007</v>
      </c>
      <c r="AY42" s="36">
        <v>7.6151</v>
      </c>
      <c r="AZ42" s="36">
        <v>7.649</v>
      </c>
      <c r="BA42" s="36">
        <v>7.7751999999999999</v>
      </c>
      <c r="BB42" s="36">
        <v>7.9912999999999998</v>
      </c>
      <c r="BC42" s="37">
        <v>8.2545000000000002</v>
      </c>
      <c r="BD42" s="35">
        <v>9.1522000000000006</v>
      </c>
      <c r="BE42" s="36">
        <v>8.5837000000000003</v>
      </c>
      <c r="BF42" s="36">
        <v>8.3187999999999995</v>
      </c>
      <c r="BG42" s="36">
        <v>9.0633999999999997</v>
      </c>
      <c r="BH42" s="36">
        <v>7.9862000000000002</v>
      </c>
      <c r="BI42" s="36">
        <v>8.1724999999999994</v>
      </c>
      <c r="BJ42" s="36">
        <v>8.6326000000000001</v>
      </c>
      <c r="BK42" s="36">
        <v>8.6311999999999998</v>
      </c>
      <c r="BL42" s="36">
        <v>9.4839000000000002</v>
      </c>
      <c r="BM42" s="36">
        <v>9.8972999999999995</v>
      </c>
      <c r="BN42" s="36">
        <v>10.353199999999999</v>
      </c>
      <c r="BO42" s="37">
        <v>10.439399999999999</v>
      </c>
      <c r="BP42" s="35">
        <v>9.4581</v>
      </c>
      <c r="BQ42" s="36">
        <v>9.1061999999999994</v>
      </c>
      <c r="BR42" s="36">
        <v>9.9417000000000009</v>
      </c>
      <c r="BS42" s="36">
        <v>10.3256</v>
      </c>
      <c r="BT42" s="36">
        <v>13.4071</v>
      </c>
      <c r="BU42" s="36">
        <v>12.5815</v>
      </c>
      <c r="BV42" s="36">
        <v>12.3202</v>
      </c>
      <c r="BW42" s="36">
        <v>11.724600000000001</v>
      </c>
      <c r="BX42" s="36">
        <v>11.923999999999999</v>
      </c>
      <c r="BY42" s="36">
        <v>11.9841</v>
      </c>
      <c r="BZ42" s="36">
        <v>13.095000000000001</v>
      </c>
      <c r="CA42" s="38">
        <v>12.5177</v>
      </c>
      <c r="CB42" s="48">
        <v>12.760999999999999</v>
      </c>
      <c r="CC42" s="45">
        <v>14.018599999999999</v>
      </c>
      <c r="CD42" s="44">
        <v>12.2423</v>
      </c>
      <c r="CE42" s="45">
        <v>13.797800000000001</v>
      </c>
      <c r="CF42" s="44">
        <v>15.1371</v>
      </c>
      <c r="CG42" s="36">
        <v>14.176299999999999</v>
      </c>
      <c r="CH42" s="45">
        <v>14.610799999999999</v>
      </c>
      <c r="CI42" s="45">
        <v>15.3132</v>
      </c>
      <c r="CJ42" s="45">
        <v>14.1378</v>
      </c>
      <c r="CK42" s="45">
        <v>13.248200000000001</v>
      </c>
      <c r="CL42" s="45">
        <v>14.1236</v>
      </c>
      <c r="CM42" s="50">
        <f>13.2417-0.0838-0.5066-0.1982-0.0954</f>
        <v>12.357699999999999</v>
      </c>
      <c r="CN42" s="49">
        <f>12.0862-0.4231-0.2287-0.0888-0.1995</f>
        <v>11.146099999999999</v>
      </c>
      <c r="CO42" s="45">
        <v>13.257</v>
      </c>
      <c r="CP42" s="45">
        <v>12.440799999999999</v>
      </c>
      <c r="CQ42" s="45">
        <v>14.027200000000001</v>
      </c>
      <c r="CR42" s="45"/>
      <c r="CS42" s="45"/>
      <c r="CT42" s="45"/>
      <c r="CU42" s="45"/>
      <c r="CV42" s="45"/>
      <c r="CW42" s="45"/>
      <c r="CX42" s="45"/>
      <c r="CY42" s="45"/>
    </row>
    <row r="43" spans="1:103" ht="45" customHeight="1">
      <c r="A43" s="39">
        <v>64</v>
      </c>
      <c r="B43" s="40" t="s">
        <v>177</v>
      </c>
      <c r="C43" s="41" t="s">
        <v>178</v>
      </c>
      <c r="D43" s="41" t="s">
        <v>134</v>
      </c>
      <c r="E43" s="41" t="s">
        <v>138</v>
      </c>
      <c r="F43" s="41" t="s">
        <v>125</v>
      </c>
      <c r="G43" s="42" t="s">
        <v>110</v>
      </c>
      <c r="H43" s="35"/>
      <c r="I43" s="36"/>
      <c r="J43" s="36"/>
      <c r="K43" s="36"/>
      <c r="L43" s="36"/>
      <c r="M43" s="36"/>
      <c r="N43" s="36"/>
      <c r="O43" s="36"/>
      <c r="P43" s="36"/>
      <c r="Q43" s="36"/>
      <c r="R43" s="36"/>
      <c r="S43" s="37"/>
      <c r="T43" s="35"/>
      <c r="U43" s="36"/>
      <c r="V43" s="36"/>
      <c r="W43" s="36"/>
      <c r="X43" s="36"/>
      <c r="Y43" s="36"/>
      <c r="Z43" s="36"/>
      <c r="AA43" s="36"/>
      <c r="AB43" s="36"/>
      <c r="AC43" s="36"/>
      <c r="AD43" s="36"/>
      <c r="AE43" s="37"/>
      <c r="AF43" s="35"/>
      <c r="AG43" s="36"/>
      <c r="AH43" s="36"/>
      <c r="AI43" s="36"/>
      <c r="AJ43" s="36"/>
      <c r="AK43" s="36"/>
      <c r="AL43" s="36"/>
      <c r="AM43" s="36"/>
      <c r="AN43" s="36"/>
      <c r="AO43" s="36"/>
      <c r="AP43" s="36"/>
      <c r="AQ43" s="37"/>
      <c r="AR43" s="35"/>
      <c r="AS43" s="36"/>
      <c r="AT43" s="36"/>
      <c r="AU43" s="36"/>
      <c r="AV43" s="36"/>
      <c r="AW43" s="36"/>
      <c r="AX43" s="36"/>
      <c r="AY43" s="36"/>
      <c r="AZ43" s="36"/>
      <c r="BA43" s="36"/>
      <c r="BB43" s="36"/>
      <c r="BC43" s="37"/>
      <c r="BD43" s="35"/>
      <c r="BE43" s="36"/>
      <c r="BF43" s="36"/>
      <c r="BG43" s="36"/>
      <c r="BH43" s="36"/>
      <c r="BI43" s="36"/>
      <c r="BJ43" s="36"/>
      <c r="BK43" s="36"/>
      <c r="BL43" s="36"/>
      <c r="BM43" s="36"/>
      <c r="BN43" s="36"/>
      <c r="BO43" s="37"/>
      <c r="BP43" s="35"/>
      <c r="BQ43" s="36"/>
      <c r="BR43" s="36">
        <v>12.8109</v>
      </c>
      <c r="BS43" s="36">
        <v>15.76</v>
      </c>
      <c r="BT43" s="36">
        <v>10.45</v>
      </c>
      <c r="BU43" s="36"/>
      <c r="BV43" s="36"/>
      <c r="BW43" s="36"/>
      <c r="BX43" s="36"/>
      <c r="BY43" s="36"/>
      <c r="BZ43" s="36"/>
      <c r="CA43" s="38"/>
      <c r="CB43" s="35"/>
      <c r="CC43" s="36"/>
      <c r="CD43" s="36"/>
      <c r="CE43" s="36"/>
      <c r="CF43" s="36"/>
      <c r="CG43" s="36"/>
      <c r="CH43" s="36"/>
      <c r="CI43" s="36"/>
      <c r="CJ43" s="36"/>
      <c r="CK43" s="36"/>
      <c r="CL43" s="36"/>
      <c r="CM43" s="38"/>
      <c r="CN43" s="67"/>
      <c r="CO43" s="67"/>
      <c r="CP43" s="67"/>
      <c r="CQ43" s="67"/>
      <c r="CR43" s="67"/>
      <c r="CS43" s="67"/>
      <c r="CT43" s="67"/>
      <c r="CU43" s="67"/>
      <c r="CV43" s="67"/>
      <c r="CW43" s="67"/>
      <c r="CX43" s="67"/>
      <c r="CY43" s="67"/>
    </row>
    <row r="44" spans="1:103" ht="45" customHeight="1">
      <c r="A44" s="39">
        <v>100</v>
      </c>
      <c r="B44" s="40" t="s">
        <v>179</v>
      </c>
      <c r="C44" s="41" t="s">
        <v>180</v>
      </c>
      <c r="D44" s="41" t="s">
        <v>107</v>
      </c>
      <c r="E44" s="41" t="s">
        <v>121</v>
      </c>
      <c r="F44" s="41" t="s">
        <v>109</v>
      </c>
      <c r="G44" s="42" t="s">
        <v>110</v>
      </c>
      <c r="H44" s="35"/>
      <c r="I44" s="36"/>
      <c r="J44" s="36"/>
      <c r="K44" s="36"/>
      <c r="L44" s="36"/>
      <c r="M44" s="36"/>
      <c r="N44" s="36"/>
      <c r="O44" s="36"/>
      <c r="P44" s="36"/>
      <c r="Q44" s="36"/>
      <c r="R44" s="36"/>
      <c r="S44" s="37"/>
      <c r="T44" s="35"/>
      <c r="U44" s="36"/>
      <c r="V44" s="36"/>
      <c r="W44" s="36"/>
      <c r="X44" s="36"/>
      <c r="Y44" s="36"/>
      <c r="Z44" s="36"/>
      <c r="AA44" s="36"/>
      <c r="AB44" s="36"/>
      <c r="AC44" s="36"/>
      <c r="AD44" s="36"/>
      <c r="AE44" s="37"/>
      <c r="AF44" s="35"/>
      <c r="AG44" s="36"/>
      <c r="AH44" s="36"/>
      <c r="AI44" s="36"/>
      <c r="AJ44" s="36"/>
      <c r="AK44" s="36"/>
      <c r="AL44" s="36"/>
      <c r="AM44" s="36"/>
      <c r="AN44" s="36"/>
      <c r="AO44" s="36"/>
      <c r="AP44" s="36"/>
      <c r="AQ44" s="37"/>
      <c r="AR44" s="35"/>
      <c r="AS44" s="36"/>
      <c r="AT44" s="36"/>
      <c r="AU44" s="36"/>
      <c r="AV44" s="36"/>
      <c r="AW44" s="36">
        <v>9.9689999999999994</v>
      </c>
      <c r="AX44" s="36">
        <v>9.7187000000000001</v>
      </c>
      <c r="AY44" s="36">
        <v>9.4962</v>
      </c>
      <c r="AZ44" s="36">
        <v>9.3514999999999997</v>
      </c>
      <c r="BA44" s="36">
        <v>9.0261999999999993</v>
      </c>
      <c r="BB44" s="36">
        <v>9.5736000000000008</v>
      </c>
      <c r="BC44" s="37">
        <v>9.7003000000000004</v>
      </c>
      <c r="BD44" s="35">
        <v>9.5336999999999996</v>
      </c>
      <c r="BE44" s="36">
        <v>9.9151000000000007</v>
      </c>
      <c r="BF44" s="36">
        <v>10.130599999999999</v>
      </c>
      <c r="BG44" s="36">
        <v>10.921099999999999</v>
      </c>
      <c r="BH44" s="36">
        <v>10.4009</v>
      </c>
      <c r="BI44" s="36">
        <v>14.917299999999999</v>
      </c>
      <c r="BJ44" s="36">
        <v>15.177300000000001</v>
      </c>
      <c r="BK44" s="36">
        <v>9.7556999999999992</v>
      </c>
      <c r="BL44" s="36">
        <v>14.8454</v>
      </c>
      <c r="BM44" s="36">
        <v>9.6189999999999998</v>
      </c>
      <c r="BN44" s="36">
        <v>11.044499999999999</v>
      </c>
      <c r="BO44" s="37">
        <v>9.7844999999999995</v>
      </c>
      <c r="BP44" s="35">
        <v>9.2715999999999994</v>
      </c>
      <c r="BQ44" s="36">
        <v>9.3549000000000007</v>
      </c>
      <c r="BR44" s="47">
        <v>11.798999999999999</v>
      </c>
      <c r="BS44" s="36">
        <v>11.3276</v>
      </c>
      <c r="BT44" s="36">
        <v>12.2309</v>
      </c>
      <c r="BU44" s="36">
        <v>12.166</v>
      </c>
      <c r="BV44" s="36">
        <v>11.2484</v>
      </c>
      <c r="BW44" s="36">
        <v>10.27777</v>
      </c>
      <c r="BX44" s="36">
        <v>10.3363</v>
      </c>
      <c r="BY44" s="36">
        <v>9.4686000000000003</v>
      </c>
      <c r="BZ44" s="36">
        <v>11.4284</v>
      </c>
      <c r="CA44" s="38">
        <v>9.0174000000000003</v>
      </c>
      <c r="CB44" s="52">
        <v>9.1638000000000002</v>
      </c>
      <c r="CC44" s="51">
        <v>9.2103000000000002</v>
      </c>
      <c r="CD44" s="45">
        <v>9.4946000000000002</v>
      </c>
      <c r="CE44" s="51">
        <v>10.444699999999999</v>
      </c>
      <c r="CF44" s="45">
        <v>11.2881</v>
      </c>
      <c r="CG44" s="51">
        <v>6.8837999999999999</v>
      </c>
      <c r="CH44" s="36">
        <v>8.9646000000000008</v>
      </c>
      <c r="CI44" s="45">
        <v>12.9421</v>
      </c>
      <c r="CJ44" s="36">
        <v>13.7218</v>
      </c>
      <c r="CK44" s="36">
        <v>9.3072999999999997</v>
      </c>
      <c r="CL44" s="51">
        <v>7.9255000000000004</v>
      </c>
      <c r="CM44" s="55">
        <v>9.6637000000000004</v>
      </c>
      <c r="CN44" s="36">
        <v>8.8483999999999998</v>
      </c>
      <c r="CO44" s="51">
        <v>8.4396000000000004</v>
      </c>
      <c r="CP44" s="51">
        <v>8.5820000000000007</v>
      </c>
      <c r="CQ44" s="51"/>
      <c r="CR44" s="51"/>
      <c r="CS44" s="51"/>
      <c r="CT44" s="51"/>
      <c r="CU44" s="51"/>
      <c r="CV44" s="51"/>
      <c r="CW44" s="51"/>
      <c r="CX44" s="51"/>
      <c r="CY44" s="51"/>
    </row>
    <row r="45" spans="1:103" ht="45" customHeight="1">
      <c r="A45" s="39">
        <v>36</v>
      </c>
      <c r="B45" s="40" t="s">
        <v>181</v>
      </c>
      <c r="C45" s="41" t="s">
        <v>182</v>
      </c>
      <c r="D45" s="41" t="s">
        <v>107</v>
      </c>
      <c r="E45" s="41" t="s">
        <v>121</v>
      </c>
      <c r="F45" s="41" t="s">
        <v>109</v>
      </c>
      <c r="G45" s="42" t="s">
        <v>110</v>
      </c>
      <c r="H45" s="35"/>
      <c r="I45" s="36"/>
      <c r="J45" s="36"/>
      <c r="K45" s="36"/>
      <c r="L45" s="36"/>
      <c r="M45" s="36"/>
      <c r="N45" s="36"/>
      <c r="O45" s="36"/>
      <c r="P45" s="36"/>
      <c r="Q45" s="36"/>
      <c r="R45" s="36"/>
      <c r="S45" s="37"/>
      <c r="T45" s="35"/>
      <c r="U45" s="36"/>
      <c r="V45" s="36"/>
      <c r="W45" s="36"/>
      <c r="X45" s="36"/>
      <c r="Y45" s="36"/>
      <c r="Z45" s="36"/>
      <c r="AA45" s="36"/>
      <c r="AB45" s="36"/>
      <c r="AC45" s="36"/>
      <c r="AD45" s="36"/>
      <c r="AE45" s="37"/>
      <c r="AF45" s="35"/>
      <c r="AG45" s="36"/>
      <c r="AH45" s="36"/>
      <c r="AI45" s="36"/>
      <c r="AJ45" s="36"/>
      <c r="AK45" s="36"/>
      <c r="AL45" s="36"/>
      <c r="AM45" s="36"/>
      <c r="AN45" s="36"/>
      <c r="AO45" s="36"/>
      <c r="AP45" s="36"/>
      <c r="AQ45" s="37"/>
      <c r="AR45" s="35"/>
      <c r="AS45" s="36"/>
      <c r="AT45" s="36"/>
      <c r="AU45" s="36"/>
      <c r="AV45" s="36"/>
      <c r="AW45" s="36"/>
      <c r="AX45" s="36"/>
      <c r="AY45" s="36"/>
      <c r="AZ45" s="36"/>
      <c r="BA45" s="36"/>
      <c r="BB45" s="36"/>
      <c r="BC45" s="37"/>
      <c r="BD45" s="35"/>
      <c r="BE45" s="36"/>
      <c r="BF45" s="36"/>
      <c r="BG45" s="36"/>
      <c r="BH45" s="36"/>
      <c r="BI45" s="36"/>
      <c r="BJ45" s="36">
        <v>16.463000000000001</v>
      </c>
      <c r="BK45" s="36">
        <v>17.6431</v>
      </c>
      <c r="BL45" s="36">
        <v>16.917200000000001</v>
      </c>
      <c r="BM45" s="36"/>
      <c r="BN45" s="36">
        <v>16.8675</v>
      </c>
      <c r="BO45" s="37">
        <v>17.5123</v>
      </c>
      <c r="BP45" s="35">
        <v>15.449</v>
      </c>
      <c r="BQ45" s="36">
        <v>16.054600000000001</v>
      </c>
      <c r="BR45" s="36">
        <v>15.566000000000001</v>
      </c>
      <c r="BS45" s="36">
        <v>13.5077</v>
      </c>
      <c r="BT45" s="36">
        <v>9.6608000000000001</v>
      </c>
      <c r="BU45" s="36">
        <v>12.105600000000001</v>
      </c>
      <c r="BV45" s="36">
        <v>10.3728</v>
      </c>
      <c r="BW45" s="36">
        <v>7.3171999999999997</v>
      </c>
      <c r="BX45" s="36">
        <v>6.8851000000000004</v>
      </c>
      <c r="BY45" s="36">
        <v>6.4240000000000004</v>
      </c>
      <c r="BZ45" s="36">
        <v>9.9901999999999997</v>
      </c>
      <c r="CA45" s="38">
        <v>8.0952999999999999</v>
      </c>
      <c r="CB45" s="52">
        <v>8.1989000000000001</v>
      </c>
      <c r="CC45" s="51">
        <v>7.9141000000000004</v>
      </c>
      <c r="CD45" s="51">
        <v>5.2137000000000002</v>
      </c>
      <c r="CE45" s="45">
        <v>8.7032000000000007</v>
      </c>
      <c r="CF45" s="45">
        <v>10.7583</v>
      </c>
      <c r="CG45" s="45">
        <v>5.9290000000000003</v>
      </c>
      <c r="CH45" s="45">
        <v>12.2728</v>
      </c>
      <c r="CI45" s="45">
        <v>12.709099999999999</v>
      </c>
      <c r="CJ45" s="36">
        <v>13.1022</v>
      </c>
      <c r="CK45" s="45">
        <v>7.9663000000000004</v>
      </c>
      <c r="CL45" s="45">
        <v>7.9255000000000004</v>
      </c>
      <c r="CM45" s="50">
        <v>8.0939999999999994</v>
      </c>
      <c r="CN45" s="36">
        <v>7.0781999999999998</v>
      </c>
      <c r="CO45" s="45">
        <v>4.7335000000000003</v>
      </c>
      <c r="CP45" s="45">
        <v>6.6374000000000004</v>
      </c>
      <c r="CQ45" s="45"/>
      <c r="CR45" s="45"/>
      <c r="CS45" s="45"/>
      <c r="CT45" s="45"/>
      <c r="CU45" s="45"/>
      <c r="CV45" s="45"/>
      <c r="CW45" s="45"/>
      <c r="CX45" s="45"/>
      <c r="CY45" s="45"/>
    </row>
    <row r="46" spans="1:103" ht="45" customHeight="1">
      <c r="A46" s="39">
        <v>32</v>
      </c>
      <c r="B46" s="40" t="s">
        <v>183</v>
      </c>
      <c r="C46" s="41" t="s">
        <v>184</v>
      </c>
      <c r="D46" s="41" t="s">
        <v>107</v>
      </c>
      <c r="E46" s="41" t="s">
        <v>121</v>
      </c>
      <c r="F46" s="41" t="s">
        <v>109</v>
      </c>
      <c r="G46" s="42" t="s">
        <v>110</v>
      </c>
      <c r="H46" s="35"/>
      <c r="I46" s="36"/>
      <c r="J46" s="36"/>
      <c r="K46" s="36"/>
      <c r="L46" s="36"/>
      <c r="M46" s="36"/>
      <c r="N46" s="36"/>
      <c r="O46" s="36"/>
      <c r="P46" s="36"/>
      <c r="Q46" s="36"/>
      <c r="R46" s="36"/>
      <c r="S46" s="37"/>
      <c r="T46" s="35"/>
      <c r="U46" s="36"/>
      <c r="V46" s="36"/>
      <c r="W46" s="36"/>
      <c r="X46" s="36"/>
      <c r="Y46" s="36"/>
      <c r="Z46" s="36"/>
      <c r="AA46" s="36"/>
      <c r="AB46" s="36"/>
      <c r="AC46" s="36"/>
      <c r="AD46" s="36"/>
      <c r="AE46" s="37"/>
      <c r="AF46" s="35"/>
      <c r="AG46" s="36"/>
      <c r="AH46" s="36"/>
      <c r="AI46" s="36"/>
      <c r="AJ46" s="36"/>
      <c r="AK46" s="36"/>
      <c r="AL46" s="36"/>
      <c r="AM46" s="36"/>
      <c r="AN46" s="36"/>
      <c r="AO46" s="36"/>
      <c r="AP46" s="36"/>
      <c r="AQ46" s="37"/>
      <c r="AR46" s="35"/>
      <c r="AS46" s="36"/>
      <c r="AT46" s="36"/>
      <c r="AU46" s="36"/>
      <c r="AV46" s="36"/>
      <c r="AW46" s="36"/>
      <c r="AX46" s="36"/>
      <c r="AY46" s="36"/>
      <c r="AZ46" s="36"/>
      <c r="BA46" s="36"/>
      <c r="BB46" s="36"/>
      <c r="BC46" s="37"/>
      <c r="BD46" s="35">
        <v>13.416600000000001</v>
      </c>
      <c r="BE46" s="36">
        <v>14.6953</v>
      </c>
      <c r="BF46" s="36">
        <v>14.7523</v>
      </c>
      <c r="BG46" s="36">
        <v>14.8383</v>
      </c>
      <c r="BH46" s="36">
        <v>14.894399999999999</v>
      </c>
      <c r="BI46" s="36">
        <v>12.626300000000001</v>
      </c>
      <c r="BJ46" s="36">
        <v>15.257300000000001</v>
      </c>
      <c r="BK46" s="36">
        <v>17.6648</v>
      </c>
      <c r="BL46" s="36">
        <v>17.444299999999998</v>
      </c>
      <c r="BM46" s="36">
        <v>16.709399999999999</v>
      </c>
      <c r="BN46" s="36">
        <v>12.3331</v>
      </c>
      <c r="BO46" s="37">
        <v>11.792400000000001</v>
      </c>
      <c r="BP46" s="35">
        <v>12.6889</v>
      </c>
      <c r="BQ46" s="36">
        <v>11.601800000000001</v>
      </c>
      <c r="BR46" s="47">
        <v>12.024900000000001</v>
      </c>
      <c r="BS46" s="36">
        <v>13.069800000000001</v>
      </c>
      <c r="BT46" s="36">
        <v>13.2593</v>
      </c>
      <c r="BU46" s="36">
        <v>12.1791</v>
      </c>
      <c r="BV46" s="36">
        <v>10.9169</v>
      </c>
      <c r="BW46" s="36">
        <v>10.3805</v>
      </c>
      <c r="BX46" s="36">
        <v>10.287800000000001</v>
      </c>
      <c r="BY46" s="36">
        <v>10</v>
      </c>
      <c r="BZ46" s="36">
        <v>9.4154</v>
      </c>
      <c r="CA46" s="38">
        <v>9.8026999999999997</v>
      </c>
      <c r="CB46" s="35">
        <v>9.9116999999999997</v>
      </c>
      <c r="CC46" s="36">
        <v>10.1724</v>
      </c>
      <c r="CD46" s="45">
        <v>10.6145</v>
      </c>
      <c r="CE46" s="36">
        <v>10.6975</v>
      </c>
      <c r="CF46" s="36">
        <v>12.6701</v>
      </c>
      <c r="CG46" s="36">
        <v>7.9888000000000003</v>
      </c>
      <c r="CH46" s="36">
        <v>14.3697</v>
      </c>
      <c r="CI46" s="36">
        <v>14.8536</v>
      </c>
      <c r="CJ46" s="36">
        <v>18.548200000000001</v>
      </c>
      <c r="CK46" s="36">
        <v>12.6715</v>
      </c>
      <c r="CL46" s="36">
        <v>10.545999999999999</v>
      </c>
      <c r="CM46" s="38">
        <v>10.8909</v>
      </c>
      <c r="CN46" s="36">
        <v>9.1797000000000004</v>
      </c>
      <c r="CO46" s="36">
        <v>8.4326000000000008</v>
      </c>
      <c r="CP46" s="36">
        <v>8.0853000000000002</v>
      </c>
      <c r="CQ46" s="36"/>
      <c r="CR46" s="36"/>
      <c r="CS46" s="36"/>
      <c r="CT46" s="36"/>
      <c r="CU46" s="36"/>
      <c r="CV46" s="36"/>
      <c r="CW46" s="36"/>
      <c r="CX46" s="36"/>
      <c r="CY46" s="36"/>
    </row>
    <row r="47" spans="1:103" ht="45" customHeight="1">
      <c r="A47" s="39">
        <v>42</v>
      </c>
      <c r="B47" s="40" t="s">
        <v>185</v>
      </c>
      <c r="C47" s="41" t="s">
        <v>186</v>
      </c>
      <c r="D47" s="41" t="s">
        <v>107</v>
      </c>
      <c r="E47" s="41" t="s">
        <v>121</v>
      </c>
      <c r="F47" s="41" t="s">
        <v>109</v>
      </c>
      <c r="G47" s="42" t="s">
        <v>110</v>
      </c>
      <c r="H47" s="35">
        <v>8.3786000000000005</v>
      </c>
      <c r="I47" s="36">
        <v>7.8895999999999997</v>
      </c>
      <c r="J47" s="36">
        <v>8.3956999999999997</v>
      </c>
      <c r="K47" s="36">
        <v>10.0023</v>
      </c>
      <c r="L47" s="36">
        <v>8.9558</v>
      </c>
      <c r="M47" s="36">
        <v>8.4329000000000001</v>
      </c>
      <c r="N47" s="36">
        <v>8.5277999999999992</v>
      </c>
      <c r="O47" s="36">
        <v>8.2890999999999995</v>
      </c>
      <c r="P47" s="36">
        <v>7.7744</v>
      </c>
      <c r="Q47" s="36">
        <v>8.0205000000000002</v>
      </c>
      <c r="R47" s="36">
        <v>8.1018000000000008</v>
      </c>
      <c r="S47" s="37">
        <v>8.1050000000000004</v>
      </c>
      <c r="T47" s="35">
        <v>7.8708999999999998</v>
      </c>
      <c r="U47" s="36">
        <v>8.6281999999999996</v>
      </c>
      <c r="V47" s="36">
        <v>8.7144999999999992</v>
      </c>
      <c r="W47" s="36">
        <v>8.4845000000000006</v>
      </c>
      <c r="X47" s="36">
        <v>9.0420999999999996</v>
      </c>
      <c r="Y47" s="36">
        <v>8.8504000000000005</v>
      </c>
      <c r="Z47" s="36">
        <v>9.3841999999999999</v>
      </c>
      <c r="AA47" s="36">
        <v>8.4115800000000007</v>
      </c>
      <c r="AB47" s="36">
        <v>7.7419000000000002</v>
      </c>
      <c r="AC47" s="36">
        <v>7.3296000000000001</v>
      </c>
      <c r="AD47" s="36">
        <v>7.8394000000000004</v>
      </c>
      <c r="AE47" s="37">
        <v>8.3582999999999998</v>
      </c>
      <c r="AF47" s="35">
        <v>9.7352000000000007</v>
      </c>
      <c r="AG47" s="36">
        <v>6.0019999999999998</v>
      </c>
      <c r="AH47" s="36">
        <v>5.4046000000000003</v>
      </c>
      <c r="AI47" s="36">
        <v>5.3475999999999999</v>
      </c>
      <c r="AJ47" s="36">
        <v>7.1078000000000001</v>
      </c>
      <c r="AK47" s="36">
        <v>6.6712999999999996</v>
      </c>
      <c r="AL47" s="36">
        <v>6.2234999999999996</v>
      </c>
      <c r="AM47" s="36">
        <v>5.7648000000000001</v>
      </c>
      <c r="AN47" s="36">
        <v>5.7325999999999997</v>
      </c>
      <c r="AO47" s="36">
        <v>6.2484000000000002</v>
      </c>
      <c r="AP47" s="36">
        <v>6.6387</v>
      </c>
      <c r="AQ47" s="37">
        <v>6.5113000000000003</v>
      </c>
      <c r="AR47" s="35">
        <v>5.7301000000000002</v>
      </c>
      <c r="AS47" s="36">
        <v>6.3113000000000001</v>
      </c>
      <c r="AT47" s="36">
        <v>6.4504000000000001</v>
      </c>
      <c r="AU47" s="36">
        <v>6.391</v>
      </c>
      <c r="AV47" s="36">
        <v>5.9057000000000004</v>
      </c>
      <c r="AW47" s="36">
        <v>6.0244</v>
      </c>
      <c r="AX47" s="36">
        <v>5.9638</v>
      </c>
      <c r="AY47" s="36">
        <v>5.3250000000000002</v>
      </c>
      <c r="AZ47" s="36">
        <v>5.4275000000000002</v>
      </c>
      <c r="BA47" s="36">
        <v>5.4965000000000002</v>
      </c>
      <c r="BB47" s="36">
        <v>5.6959</v>
      </c>
      <c r="BC47" s="37">
        <v>5.9104000000000001</v>
      </c>
      <c r="BD47" s="35">
        <v>7.0637999999999996</v>
      </c>
      <c r="BE47" s="36">
        <v>6.4531000000000001</v>
      </c>
      <c r="BF47" s="36">
        <v>6.2142999999999997</v>
      </c>
      <c r="BG47" s="36">
        <v>6.9287000000000001</v>
      </c>
      <c r="BH47" s="36">
        <v>5.9260000000000002</v>
      </c>
      <c r="BI47" s="36">
        <v>6.1093999999999999</v>
      </c>
      <c r="BJ47" s="36">
        <v>6.5925000000000002</v>
      </c>
      <c r="BK47" s="36">
        <v>6.5364000000000004</v>
      </c>
      <c r="BL47" s="36">
        <v>7.4172000000000002</v>
      </c>
      <c r="BM47" s="36">
        <v>7.8628</v>
      </c>
      <c r="BN47" s="36">
        <v>8.3084000000000007</v>
      </c>
      <c r="BO47" s="37">
        <v>8.2714999999999996</v>
      </c>
      <c r="BP47" s="35">
        <v>7.2525000000000004</v>
      </c>
      <c r="BQ47" s="36">
        <v>6.8921000000000001</v>
      </c>
      <c r="BR47" s="47">
        <v>7.7419000000000002</v>
      </c>
      <c r="BS47" s="36">
        <v>8.1496999999999993</v>
      </c>
      <c r="BT47" s="36">
        <v>8.3678000000000008</v>
      </c>
      <c r="BU47" s="36">
        <v>11.4125</v>
      </c>
      <c r="BV47" s="36">
        <v>10.722300000000001</v>
      </c>
      <c r="BW47" s="36">
        <v>10.0229</v>
      </c>
      <c r="BX47" s="36">
        <v>10.0228</v>
      </c>
      <c r="BY47" s="36">
        <v>9.7820999999999998</v>
      </c>
      <c r="BZ47" s="36">
        <v>10.8065</v>
      </c>
      <c r="CA47" s="38">
        <v>9.6590000000000007</v>
      </c>
      <c r="CB47" s="63">
        <v>9.4954999999999998</v>
      </c>
      <c r="CC47" s="36">
        <v>9.8257999999999992</v>
      </c>
      <c r="CD47" s="45">
        <v>10.5715</v>
      </c>
      <c r="CE47" s="57">
        <v>10.5722</v>
      </c>
      <c r="CF47" s="36">
        <v>10.783899999999999</v>
      </c>
      <c r="CG47" s="36">
        <v>11.776300000000001</v>
      </c>
      <c r="CH47" s="36">
        <v>10.4862</v>
      </c>
      <c r="CI47" s="45">
        <v>10.604100000000001</v>
      </c>
      <c r="CJ47" s="36">
        <v>11.0654</v>
      </c>
      <c r="CK47" s="36">
        <v>9.6440000000000001</v>
      </c>
      <c r="CL47" s="36">
        <v>9.8605</v>
      </c>
      <c r="CM47" s="56">
        <v>9.7812000000000001</v>
      </c>
      <c r="CN47" s="54">
        <v>9.1867999999999999</v>
      </c>
      <c r="CO47" s="66">
        <v>9.0801999999999996</v>
      </c>
      <c r="CP47" s="66">
        <v>10.6068</v>
      </c>
      <c r="CQ47" s="66"/>
      <c r="CR47" s="66"/>
      <c r="CS47" s="66"/>
      <c r="CT47" s="66"/>
      <c r="CU47" s="66"/>
      <c r="CV47" s="66"/>
      <c r="CW47" s="66"/>
      <c r="CX47" s="66"/>
      <c r="CY47" s="66"/>
    </row>
    <row r="48" spans="1:103" ht="45" customHeight="1">
      <c r="A48" s="39">
        <v>102</v>
      </c>
      <c r="B48" s="40" t="s">
        <v>187</v>
      </c>
      <c r="C48" s="41" t="s">
        <v>188</v>
      </c>
      <c r="D48" s="41" t="s">
        <v>107</v>
      </c>
      <c r="E48" s="41" t="s">
        <v>135</v>
      </c>
      <c r="F48" s="41" t="s">
        <v>118</v>
      </c>
      <c r="G48" s="42" t="s">
        <v>110</v>
      </c>
      <c r="H48" s="35">
        <v>8.5853000000000002</v>
      </c>
      <c r="I48" s="36">
        <v>8.4855</v>
      </c>
      <c r="J48" s="36">
        <v>8.5305999999999997</v>
      </c>
      <c r="K48" s="36">
        <v>8.5397999999999996</v>
      </c>
      <c r="L48" s="36">
        <v>8.6852999999999998</v>
      </c>
      <c r="M48" s="36">
        <v>8.6846999999999994</v>
      </c>
      <c r="N48" s="36">
        <v>8.7356999999999996</v>
      </c>
      <c r="O48" s="36">
        <v>9.0530000000000008</v>
      </c>
      <c r="P48" s="36">
        <v>8.9870999999999999</v>
      </c>
      <c r="Q48" s="36">
        <v>8.5844000000000005</v>
      </c>
      <c r="R48" s="36">
        <v>9.1598000000000006</v>
      </c>
      <c r="S48" s="37">
        <v>8.0018999999999991</v>
      </c>
      <c r="T48" s="35">
        <v>9.1683000000000003</v>
      </c>
      <c r="U48" s="36">
        <v>9.0207999999999995</v>
      </c>
      <c r="V48" s="36">
        <v>9.1492000000000004</v>
      </c>
      <c r="W48" s="36">
        <v>9.1549999999999994</v>
      </c>
      <c r="X48" s="36">
        <v>9.3065999999999995</v>
      </c>
      <c r="Y48" s="36">
        <v>9.3330000000000002</v>
      </c>
      <c r="Z48" s="36">
        <v>8.7163000000000004</v>
      </c>
      <c r="AA48" s="36">
        <v>9.0656999999999996</v>
      </c>
      <c r="AB48" s="36">
        <v>8.5131999999999994</v>
      </c>
      <c r="AC48" s="36">
        <v>8.4247999999999994</v>
      </c>
      <c r="AD48" s="36">
        <v>8.6449999999999996</v>
      </c>
      <c r="AE48" s="37">
        <v>8.6426999999999996</v>
      </c>
      <c r="AF48" s="35">
        <v>8.1908999999999992</v>
      </c>
      <c r="AG48" s="36">
        <v>7.7991999999999999</v>
      </c>
      <c r="AH48" s="36">
        <v>7.9145000000000003</v>
      </c>
      <c r="AI48" s="36">
        <v>5.7534000000000001</v>
      </c>
      <c r="AJ48" s="36">
        <v>7.2542999999999997</v>
      </c>
      <c r="AK48" s="36">
        <v>7.2988</v>
      </c>
      <c r="AL48" s="36">
        <v>7.3875000000000002</v>
      </c>
      <c r="AM48" s="36">
        <v>7.4661</v>
      </c>
      <c r="AN48" s="36">
        <v>6.7458999999999998</v>
      </c>
      <c r="AO48" s="36">
        <v>7.5755999999999997</v>
      </c>
      <c r="AP48" s="36">
        <v>7.5702999999999996</v>
      </c>
      <c r="AQ48" s="37">
        <v>7.6098999999999997</v>
      </c>
      <c r="AR48" s="35">
        <v>7.3231999999999999</v>
      </c>
      <c r="AS48" s="36">
        <v>7.3693</v>
      </c>
      <c r="AT48" s="36">
        <v>7.4916</v>
      </c>
      <c r="AU48" s="36">
        <v>7.6050000000000004</v>
      </c>
      <c r="AV48" s="36">
        <v>7.5933000000000002</v>
      </c>
      <c r="AW48" s="36">
        <v>7.6409000000000002</v>
      </c>
      <c r="AX48" s="36">
        <v>6.4949000000000003</v>
      </c>
      <c r="AY48" s="36">
        <v>7.8014000000000001</v>
      </c>
      <c r="AZ48" s="36">
        <v>7.8681000000000001</v>
      </c>
      <c r="BA48" s="36">
        <v>7.2689000000000004</v>
      </c>
      <c r="BB48" s="36">
        <v>8.0422999999999991</v>
      </c>
      <c r="BC48" s="37">
        <v>8.0422999999999991</v>
      </c>
      <c r="BD48" s="35">
        <v>10.0564</v>
      </c>
      <c r="BE48" s="36">
        <v>10.526</v>
      </c>
      <c r="BF48" s="36">
        <v>10.2767</v>
      </c>
      <c r="BG48" s="36">
        <v>10.275700000000001</v>
      </c>
      <c r="BH48" s="36">
        <v>10.5101</v>
      </c>
      <c r="BI48" s="36">
        <v>10.411199999999999</v>
      </c>
      <c r="BJ48" s="36">
        <v>10.527100000000001</v>
      </c>
      <c r="BK48" s="36">
        <v>10.7454</v>
      </c>
      <c r="BL48" s="36">
        <v>11.1356</v>
      </c>
      <c r="BM48" s="36">
        <v>11.565</v>
      </c>
      <c r="BN48" s="36">
        <v>11.920299999999999</v>
      </c>
      <c r="BO48" s="37">
        <v>12.1465</v>
      </c>
      <c r="BP48" s="35">
        <v>16.819700000000001</v>
      </c>
      <c r="BQ48" s="36">
        <v>9.2449999999999992</v>
      </c>
      <c r="BR48" s="36">
        <v>11.87</v>
      </c>
      <c r="BS48" s="36">
        <v>11.467499999999999</v>
      </c>
      <c r="BT48" s="36">
        <f>12.16-1.53</f>
        <v>10.63</v>
      </c>
      <c r="BU48" s="36">
        <f>12.46-1.56</f>
        <v>10.9</v>
      </c>
      <c r="BV48" s="36">
        <v>11.45</v>
      </c>
      <c r="BW48" s="36">
        <v>10.69</v>
      </c>
      <c r="BX48" s="36">
        <v>11.22</v>
      </c>
      <c r="BY48" s="36">
        <v>10.56</v>
      </c>
      <c r="BZ48" s="36">
        <v>12.16</v>
      </c>
      <c r="CA48" s="38">
        <v>10.23</v>
      </c>
      <c r="CB48" s="35">
        <v>11.77</v>
      </c>
      <c r="CC48" s="51">
        <v>10.75</v>
      </c>
      <c r="CD48" s="45">
        <v>11.3973</v>
      </c>
      <c r="CE48" s="36">
        <v>10.67</v>
      </c>
      <c r="CF48" s="36">
        <v>11.8</v>
      </c>
      <c r="CG48" s="36">
        <v>8.59</v>
      </c>
      <c r="CH48" s="36">
        <v>13.3</v>
      </c>
      <c r="CI48" s="36">
        <v>13.25</v>
      </c>
      <c r="CJ48" s="36">
        <v>14.85</v>
      </c>
      <c r="CK48" s="36">
        <v>13.31</v>
      </c>
      <c r="CL48" s="36">
        <v>13.94</v>
      </c>
      <c r="CM48" s="38">
        <v>13.19</v>
      </c>
      <c r="CN48" s="36">
        <v>11.45</v>
      </c>
      <c r="CO48" s="36">
        <v>11.04</v>
      </c>
      <c r="CP48" s="36">
        <v>10.25</v>
      </c>
      <c r="CQ48" s="36"/>
      <c r="CR48" s="36"/>
      <c r="CS48" s="36"/>
      <c r="CT48" s="36"/>
      <c r="CU48" s="36"/>
      <c r="CV48" s="36"/>
      <c r="CW48" s="36"/>
      <c r="CX48" s="36"/>
      <c r="CY48" s="36"/>
    </row>
    <row r="49" spans="1:103" ht="45" customHeight="1">
      <c r="A49" s="39">
        <v>15</v>
      </c>
      <c r="B49" s="40" t="s">
        <v>189</v>
      </c>
      <c r="C49" s="41" t="s">
        <v>190</v>
      </c>
      <c r="D49" s="41" t="s">
        <v>107</v>
      </c>
      <c r="E49" s="41" t="s">
        <v>135</v>
      </c>
      <c r="F49" s="41" t="s">
        <v>118</v>
      </c>
      <c r="G49" s="42" t="s">
        <v>110</v>
      </c>
      <c r="H49" s="35">
        <v>8.2928999999999995</v>
      </c>
      <c r="I49" s="36">
        <v>8.3983000000000008</v>
      </c>
      <c r="J49" s="36">
        <v>8.6555999999999997</v>
      </c>
      <c r="K49" s="36">
        <v>8.7434999999999992</v>
      </c>
      <c r="L49" s="36">
        <v>8.6874000000000002</v>
      </c>
      <c r="M49" s="36">
        <v>8.7813999999999997</v>
      </c>
      <c r="N49" s="36">
        <v>8.7882999999999996</v>
      </c>
      <c r="O49" s="36">
        <v>8.5762</v>
      </c>
      <c r="P49" s="36">
        <v>8.7347000000000001</v>
      </c>
      <c r="Q49" s="36">
        <v>9.1922999999999995</v>
      </c>
      <c r="R49" s="36">
        <v>9.2105999999999995</v>
      </c>
      <c r="S49" s="37">
        <v>9.1547000000000001</v>
      </c>
      <c r="T49" s="35">
        <v>8.8188999999999993</v>
      </c>
      <c r="U49" s="36">
        <v>8.9928000000000008</v>
      </c>
      <c r="V49" s="36">
        <v>8.9720999999999993</v>
      </c>
      <c r="W49" s="36">
        <v>8.3361000000000001</v>
      </c>
      <c r="X49" s="36">
        <v>8.5303000000000004</v>
      </c>
      <c r="Y49" s="36">
        <v>8.0973000000000006</v>
      </c>
      <c r="Z49" s="36">
        <v>8.0939999999999994</v>
      </c>
      <c r="AA49" s="36">
        <v>8.0670000000000002</v>
      </c>
      <c r="AB49" s="36">
        <v>7.7565999999999997</v>
      </c>
      <c r="AC49" s="36">
        <v>7.5266999999999999</v>
      </c>
      <c r="AD49" s="36">
        <v>7.5284000000000004</v>
      </c>
      <c r="AE49" s="37">
        <v>7.3952999999999998</v>
      </c>
      <c r="AF49" s="35">
        <v>8.8188999999999993</v>
      </c>
      <c r="AG49" s="36">
        <v>8.9928000000000008</v>
      </c>
      <c r="AH49" s="36">
        <v>8.9720999999999993</v>
      </c>
      <c r="AI49" s="36">
        <v>8.3361000000000001</v>
      </c>
      <c r="AJ49" s="36">
        <v>8.5303000000000004</v>
      </c>
      <c r="AK49" s="36">
        <v>8.0973000000000006</v>
      </c>
      <c r="AL49" s="36">
        <v>8.0939999999999994</v>
      </c>
      <c r="AM49" s="36">
        <v>8.0670000000000002</v>
      </c>
      <c r="AN49" s="36">
        <v>7.7565999999999997</v>
      </c>
      <c r="AO49" s="36">
        <v>7.5266999999999999</v>
      </c>
      <c r="AP49" s="36">
        <v>7.5284000000000004</v>
      </c>
      <c r="AQ49" s="37">
        <v>7.5284000000000004</v>
      </c>
      <c r="AR49" s="35">
        <v>6.7986000000000004</v>
      </c>
      <c r="AS49" s="36">
        <v>7.0244</v>
      </c>
      <c r="AT49" s="36">
        <v>7.1299000000000001</v>
      </c>
      <c r="AU49" s="36">
        <v>7.3872999999999998</v>
      </c>
      <c r="AV49" s="36">
        <v>7.4234</v>
      </c>
      <c r="AW49" s="36">
        <v>7.6143000000000001</v>
      </c>
      <c r="AX49" s="36">
        <v>7.5351999999999997</v>
      </c>
      <c r="AY49" s="36">
        <v>7.6060999999999996</v>
      </c>
      <c r="AZ49" s="36">
        <v>7.9821</v>
      </c>
      <c r="BA49" s="36">
        <v>9.0739000000000001</v>
      </c>
      <c r="BB49" s="36">
        <v>8.8816000000000006</v>
      </c>
      <c r="BC49" s="37">
        <v>8.9276999999999997</v>
      </c>
      <c r="BD49" s="35">
        <v>10.0146</v>
      </c>
      <c r="BE49" s="36">
        <v>10.7384</v>
      </c>
      <c r="BF49" s="36">
        <v>8.9933999999999994</v>
      </c>
      <c r="BG49" s="36">
        <v>8.7476000000000003</v>
      </c>
      <c r="BH49" s="36">
        <v>9.6420999999999992</v>
      </c>
      <c r="BI49" s="36">
        <v>11.8353</v>
      </c>
      <c r="BJ49" s="36">
        <v>12.180099999999999</v>
      </c>
      <c r="BK49" s="36">
        <v>12.8208</v>
      </c>
      <c r="BL49" s="36">
        <v>12.6629</v>
      </c>
      <c r="BM49" s="36">
        <v>14.0486</v>
      </c>
      <c r="BN49" s="36">
        <v>13.686</v>
      </c>
      <c r="BO49" s="37">
        <v>13.552199999999999</v>
      </c>
      <c r="BP49" s="35">
        <v>12.782400000000001</v>
      </c>
      <c r="BQ49" s="36">
        <v>12.431800000000001</v>
      </c>
      <c r="BR49" s="47">
        <v>12.5016</v>
      </c>
      <c r="BS49" s="36">
        <v>12.6785</v>
      </c>
      <c r="BT49" s="36">
        <v>7.81</v>
      </c>
      <c r="BU49" s="36">
        <f>11.28-1.56</f>
        <v>9.7199999999999989</v>
      </c>
      <c r="BV49" s="36">
        <f>10.49-1.4</f>
        <v>9.09</v>
      </c>
      <c r="BW49" s="36">
        <f>9.61-1.36</f>
        <v>8.25</v>
      </c>
      <c r="BX49" s="36">
        <v>12.57</v>
      </c>
      <c r="BY49" s="36">
        <v>11.8</v>
      </c>
      <c r="BZ49" s="36">
        <v>13.53</v>
      </c>
      <c r="CA49" s="38">
        <v>11.63</v>
      </c>
      <c r="CB49" s="35">
        <v>10.29</v>
      </c>
      <c r="CC49" s="51">
        <v>9.3000000000000007</v>
      </c>
      <c r="CD49" s="45">
        <v>10.65</v>
      </c>
      <c r="CE49" s="45">
        <v>11.66</v>
      </c>
      <c r="CF49" s="45">
        <v>11.96</v>
      </c>
      <c r="CG49" s="45">
        <v>12.21</v>
      </c>
      <c r="CH49" s="36">
        <v>13.65</v>
      </c>
      <c r="CI49" s="36">
        <v>11.75</v>
      </c>
      <c r="CJ49" s="36"/>
      <c r="CK49" s="36">
        <v>12.59</v>
      </c>
      <c r="CL49" s="36">
        <v>13.83</v>
      </c>
      <c r="CM49" s="38">
        <v>12.92</v>
      </c>
      <c r="CN49" s="36">
        <v>13</v>
      </c>
      <c r="CO49" s="36">
        <v>13.5</v>
      </c>
      <c r="CP49" s="36"/>
      <c r="CQ49" s="36"/>
      <c r="CR49" s="36"/>
      <c r="CS49" s="36"/>
      <c r="CT49" s="36"/>
      <c r="CU49" s="36"/>
      <c r="CV49" s="36"/>
      <c r="CW49" s="36"/>
      <c r="CX49" s="36"/>
      <c r="CY49" s="36"/>
    </row>
    <row r="50" spans="1:103" ht="45" customHeight="1">
      <c r="A50" s="39">
        <v>56</v>
      </c>
      <c r="B50" s="40" t="s">
        <v>191</v>
      </c>
      <c r="C50" s="41" t="s">
        <v>192</v>
      </c>
      <c r="D50" s="41" t="s">
        <v>107</v>
      </c>
      <c r="E50" s="41" t="s">
        <v>135</v>
      </c>
      <c r="F50" s="41" t="s">
        <v>118</v>
      </c>
      <c r="G50" s="42" t="s">
        <v>110</v>
      </c>
      <c r="H50" s="35">
        <v>9.1487999999999996</v>
      </c>
      <c r="I50" s="36">
        <v>9.1936999999999998</v>
      </c>
      <c r="J50" s="36">
        <v>9.4246999999999996</v>
      </c>
      <c r="K50" s="36">
        <v>9.5618999999999996</v>
      </c>
      <c r="L50" s="36">
        <v>9.5190000000000001</v>
      </c>
      <c r="M50" s="36">
        <v>9.6280000000000001</v>
      </c>
      <c r="N50" s="36">
        <v>9.5962999999999994</v>
      </c>
      <c r="O50" s="36">
        <v>9.4140999999999995</v>
      </c>
      <c r="P50" s="36">
        <v>9.5650999999999993</v>
      </c>
      <c r="Q50" s="36">
        <v>10.004200000000001</v>
      </c>
      <c r="R50" s="36">
        <v>10.028499999999999</v>
      </c>
      <c r="S50" s="37">
        <v>9.9488000000000003</v>
      </c>
      <c r="T50" s="35">
        <v>9.6211000000000002</v>
      </c>
      <c r="U50" s="36">
        <v>9.7537000000000003</v>
      </c>
      <c r="V50" s="36">
        <v>9.6655999999999995</v>
      </c>
      <c r="W50" s="36">
        <v>9.1479999999999997</v>
      </c>
      <c r="X50" s="36">
        <v>9.3870000000000005</v>
      </c>
      <c r="Y50" s="36">
        <v>8.9725000000000001</v>
      </c>
      <c r="Z50" s="36">
        <v>8.9502000000000006</v>
      </c>
      <c r="AA50" s="36">
        <v>8.9314999999999998</v>
      </c>
      <c r="AB50" s="36">
        <v>8.6435999999999993</v>
      </c>
      <c r="AC50" s="36">
        <v>8.3986000000000001</v>
      </c>
      <c r="AD50" s="36">
        <v>8.4145000000000003</v>
      </c>
      <c r="AE50" s="37">
        <v>8.2809000000000008</v>
      </c>
      <c r="AF50" s="35">
        <v>9.6211000000000002</v>
      </c>
      <c r="AG50" s="36">
        <v>9.7537000000000003</v>
      </c>
      <c r="AH50" s="36">
        <v>9.6655999999999995</v>
      </c>
      <c r="AI50" s="36">
        <v>9.1479999999999997</v>
      </c>
      <c r="AJ50" s="36">
        <v>9.3870000000000005</v>
      </c>
      <c r="AK50" s="36">
        <v>8.9725000000000001</v>
      </c>
      <c r="AL50" s="36">
        <v>8.9502000000000006</v>
      </c>
      <c r="AM50" s="36">
        <v>8.9314999999999998</v>
      </c>
      <c r="AN50" s="36">
        <v>8.6435999999999993</v>
      </c>
      <c r="AO50" s="36">
        <v>8.3986000000000001</v>
      </c>
      <c r="AP50" s="36">
        <v>8.4145000000000003</v>
      </c>
      <c r="AQ50" s="37">
        <v>8.2809000000000008</v>
      </c>
      <c r="AR50" s="35">
        <v>7.7175000000000002</v>
      </c>
      <c r="AS50" s="36">
        <v>7.9165000000000001</v>
      </c>
      <c r="AT50" s="36">
        <v>7.9965999999999999</v>
      </c>
      <c r="AU50" s="36">
        <v>8.2954000000000008</v>
      </c>
      <c r="AV50" s="36">
        <v>8.3353000000000002</v>
      </c>
      <c r="AW50" s="36">
        <v>8.5345999999999993</v>
      </c>
      <c r="AX50" s="36">
        <v>8.4541000000000004</v>
      </c>
      <c r="AY50" s="36">
        <v>8.5318000000000005</v>
      </c>
      <c r="AZ50" s="36">
        <v>8.8798999999999992</v>
      </c>
      <c r="BA50" s="36">
        <v>9.9389000000000003</v>
      </c>
      <c r="BB50" s="36">
        <v>9.7726000000000006</v>
      </c>
      <c r="BC50" s="37">
        <v>9.7141999999999999</v>
      </c>
      <c r="BD50" s="35">
        <v>10.8262</v>
      </c>
      <c r="BE50" s="36">
        <v>11.555999999999999</v>
      </c>
      <c r="BF50" s="36">
        <v>9.8190000000000008</v>
      </c>
      <c r="BG50" s="36">
        <v>9.5795999999999992</v>
      </c>
      <c r="BH50" s="36">
        <v>10.481</v>
      </c>
      <c r="BI50" s="36">
        <v>11.7902</v>
      </c>
      <c r="BJ50" s="36">
        <v>13.027200000000001</v>
      </c>
      <c r="BK50" s="36">
        <v>13.6608</v>
      </c>
      <c r="BL50" s="36">
        <v>13.504799999999999</v>
      </c>
      <c r="BM50" s="36">
        <v>14.8856</v>
      </c>
      <c r="BN50" s="36">
        <v>14.509499999999999</v>
      </c>
      <c r="BO50" s="37">
        <v>14.63</v>
      </c>
      <c r="BP50" s="35">
        <v>13.87</v>
      </c>
      <c r="BQ50" s="36">
        <v>13.5</v>
      </c>
      <c r="BR50" s="47">
        <v>13.59</v>
      </c>
      <c r="BS50" s="36">
        <v>13.76</v>
      </c>
      <c r="BT50" s="36">
        <v>12.83</v>
      </c>
      <c r="BU50" s="36">
        <f>8.7518+0.3038+0.6974+0.5828+0.3669+0.1072-0.0022+0.2508+0.2216+0.0017+0.0428+0.009+0.0094</f>
        <v>11.343</v>
      </c>
      <c r="BV50" s="36">
        <f>8.1168+0.2361+0.6232+0.5143+0.5828+0.3669+0.1061-0.0021+0.2508+0.2216+0.0017+0.0428+0.009+0.0094</f>
        <v>11.0794</v>
      </c>
      <c r="BW50" s="36">
        <f>7.6483+0.2606+0.5996+0.5143+0.5828+0.3669+0.1004-0.0022+0.2508+0.2216+0.0017+0.0428+0.009+0.0094</f>
        <v>10.606</v>
      </c>
      <c r="BX50" s="36">
        <v>10.270900000000001</v>
      </c>
      <c r="BY50" s="36">
        <f>7.3293+0.2775+0.5402+0.5143+0.5828+0.3669+0.0816-0.0024+0.2508+0.2477+0.0017+0.0428+0.009+0.0094</f>
        <v>10.2516</v>
      </c>
      <c r="BZ50" s="36">
        <f>7.6744+0.3845+0.5594+0.5143+0.5828+0.3669+0.0871-0.0024+0.2508+0.2477+0.0017+0.0428+0.009+0.0094</f>
        <v>10.728399999999999</v>
      </c>
      <c r="CA50" s="38">
        <f>6.791+0.4277+0.4873+0.5143+0.5828+0.3669+0.0889-0.0022+0.2508+0.2477+0.0017+0.0428+0.009+0.7717+0.0429+0.0556</f>
        <v>10.678900000000001</v>
      </c>
      <c r="CB50" s="43">
        <v>8.0729999999999986</v>
      </c>
      <c r="CC50" s="44">
        <v>9.549100000000001</v>
      </c>
      <c r="CD50" s="45">
        <v>9.6020000000000003</v>
      </c>
      <c r="CE50" s="45">
        <v>9.475699999999998</v>
      </c>
      <c r="CF50" s="44">
        <f>6.8022+0.3877+0.4876+0.5143+0.5828+0.3669+0.0033+0.0008+0.2508+0.2238+0.0017+0.0428+0.0364+0.0075+0.0074</f>
        <v>9.7159999999999993</v>
      </c>
      <c r="CG50" s="44">
        <f>7.6304+0.458+0.5738+0.5143+0.5828+0.3669-0.0011+0.2508+0.2238+0.0017+0.0428+0.0898+0.0078+0.0074</f>
        <v>10.749200000000002</v>
      </c>
      <c r="CH50" s="44">
        <f>7.8091+0.3493+0.5795+0.5143+0.5828+0.3669-0.0026-0.0023+0.2508+0.2238+0.0017+0.0428+0.0838+0.0075+0.0074</f>
        <v>10.814800000000002</v>
      </c>
      <c r="CI50" s="44">
        <v>11.41</v>
      </c>
      <c r="CJ50" s="45">
        <f>7.6207+0.6658+0.5738+0.5143+0.5828+0.3669+0.0021-0.0004+0.2508+0.1805+0.0017+0.0428+0.0838+0.0075+0.0074</f>
        <v>10.900500000000001</v>
      </c>
      <c r="CK50" s="44">
        <f>6.1307+0.8851+0.4839+0.5143+0.5828+0.3669+0.0034+0.0001+0.2508+0.1805+0.0017+0.0428+0.0838+0.0075+0.0074</f>
        <v>9.5417000000000005</v>
      </c>
      <c r="CL50" s="44">
        <f>6.6552+0.9653+0.5394+0.5143+0.5828+0.3669+0.0006-0.0014+0.2508+0.1805+0.0017+0.0428+0.0838+0.0075+0.0074</f>
        <v>10.197600000000001</v>
      </c>
      <c r="CM50" s="46">
        <f>6.1801+0.9261+0.5106+0.5143+0.5828+0.3669+0.0027-0.0004+0.2508+0.1805+0.0075</f>
        <v>9.5219000000000005</v>
      </c>
      <c r="CN50" s="44">
        <f>5.7015+1.0426+0.4634+0.5143+0.5828+0.3669+0.0065+0.001+0.2508+0.1805+0.0017+0.0428+0.0838</f>
        <v>9.2385999999999999</v>
      </c>
      <c r="CO50" s="44">
        <f>5.408+1.4744+0.4791+0.5143+0.5828+0.3669+0.0062+0.001+0.2508+0.1949+0.0044+0.0428+0.0838</f>
        <v>9.4093999999999998</v>
      </c>
      <c r="CP50" s="44">
        <v>9.86</v>
      </c>
      <c r="CQ50" s="44">
        <f>6.1348+1.2354+0.5064+0.5143+0.5828+0.3669+0.0084+0.0011+0.2508+0.1949+0.0044+0.0428+0.1189</f>
        <v>9.9619</v>
      </c>
      <c r="CR50" s="44"/>
      <c r="CS50" s="44"/>
      <c r="CT50" s="44"/>
      <c r="CU50" s="44"/>
      <c r="CV50" s="44"/>
      <c r="CW50" s="44"/>
      <c r="CX50" s="44"/>
      <c r="CY50" s="44"/>
    </row>
    <row r="51" spans="1:103" s="68" customFormat="1" ht="45" customHeight="1">
      <c r="A51" s="39">
        <v>113</v>
      </c>
      <c r="B51" s="40" t="s">
        <v>193</v>
      </c>
      <c r="C51" s="41" t="s">
        <v>194</v>
      </c>
      <c r="D51" s="41" t="s">
        <v>107</v>
      </c>
      <c r="E51" s="41" t="s">
        <v>113</v>
      </c>
      <c r="F51" s="41" t="s">
        <v>109</v>
      </c>
      <c r="G51" s="42" t="s">
        <v>114</v>
      </c>
      <c r="H51" s="35"/>
      <c r="I51" s="36"/>
      <c r="J51" s="36"/>
      <c r="K51" s="36"/>
      <c r="L51" s="36"/>
      <c r="M51" s="36"/>
      <c r="N51" s="36"/>
      <c r="O51" s="36"/>
      <c r="P51" s="36"/>
      <c r="Q51" s="36"/>
      <c r="R51" s="36"/>
      <c r="S51" s="37"/>
      <c r="T51" s="35"/>
      <c r="U51" s="36"/>
      <c r="V51" s="36"/>
      <c r="W51" s="36"/>
      <c r="X51" s="36"/>
      <c r="Y51" s="36"/>
      <c r="Z51" s="36"/>
      <c r="AA51" s="36"/>
      <c r="AB51" s="36"/>
      <c r="AC51" s="36"/>
      <c r="AD51" s="36"/>
      <c r="AE51" s="37"/>
      <c r="AF51" s="35"/>
      <c r="AG51" s="36"/>
      <c r="AH51" s="36"/>
      <c r="AI51" s="36"/>
      <c r="AJ51" s="36"/>
      <c r="AK51" s="36"/>
      <c r="AL51" s="36"/>
      <c r="AM51" s="36"/>
      <c r="AN51" s="36"/>
      <c r="AO51" s="36"/>
      <c r="AP51" s="36"/>
      <c r="AQ51" s="37"/>
      <c r="AR51" s="35"/>
      <c r="AS51" s="36"/>
      <c r="AT51" s="36"/>
      <c r="AU51" s="36"/>
      <c r="AV51" s="36"/>
      <c r="AW51" s="36"/>
      <c r="AX51" s="36"/>
      <c r="AY51" s="36"/>
      <c r="AZ51" s="36"/>
      <c r="BA51" s="36"/>
      <c r="BB51" s="36"/>
      <c r="BC51" s="37"/>
      <c r="BD51" s="35">
        <v>5.8174999999999999</v>
      </c>
      <c r="BE51" s="36">
        <v>5.9626999999999999</v>
      </c>
      <c r="BF51" s="36">
        <v>6.2454999999999998</v>
      </c>
      <c r="BG51" s="36">
        <v>6.3935000000000004</v>
      </c>
      <c r="BH51" s="36">
        <v>6.532</v>
      </c>
      <c r="BI51" s="36">
        <v>7.0419999999999998</v>
      </c>
      <c r="BJ51" s="36">
        <v>6.9036</v>
      </c>
      <c r="BK51" s="36">
        <v>6.3590999999999998</v>
      </c>
      <c r="BL51" s="36">
        <v>6.7506000000000004</v>
      </c>
      <c r="BM51" s="36">
        <v>6.9551999999999996</v>
      </c>
      <c r="BN51" s="36">
        <v>6.8047000000000004</v>
      </c>
      <c r="BO51" s="37">
        <v>7.0682</v>
      </c>
      <c r="BP51" s="35">
        <v>7.1455000000000002</v>
      </c>
      <c r="BQ51" s="36">
        <v>6.1759000000000004</v>
      </c>
      <c r="BR51" s="36">
        <v>6.4202000000000004</v>
      </c>
      <c r="BS51" s="36">
        <v>6.3926999999999996</v>
      </c>
      <c r="BT51" s="36">
        <v>6.7957000000000001</v>
      </c>
      <c r="BU51" s="36">
        <f>5.0917+0.5663+0.6488+0.2224+0.0852+0.1053+0.2216+0.0017+0.0428</f>
        <v>6.9858000000000002</v>
      </c>
      <c r="BV51" s="36">
        <f>4.7017+0.5787+0.6488+0.2224+0.0852+0.0985+0.2216+0.0017+0.0428</f>
        <v>6.601399999999999</v>
      </c>
      <c r="BW51" s="36">
        <f>4.2704+0.5529+0.6488+0.2224+0.0852+0.0904+0.1977+0.0017+0.0428</f>
        <v>6.1123000000000012</v>
      </c>
      <c r="BX51" s="36">
        <f>4.2467+0.5426+0.6488+0.2224+0.0852+0.0907+0.2238+0.0017+0.0428</f>
        <v>6.1047000000000002</v>
      </c>
      <c r="BY51" s="36">
        <f>4.1319+0.58+0.6488+0.2224+0.0852+0.0881+0.2238+0.0017+0.0428</f>
        <v>6.0246999999999993</v>
      </c>
      <c r="BZ51" s="36">
        <f>4.5712+0.6757+0.6488+0.2224+0.0852+0.1002+0.2238+0.0017+0.0428</f>
        <v>6.5717999999999996</v>
      </c>
      <c r="CA51" s="38">
        <f>3.9088+0.678+0.6488+0.2224+0.0852+0.089+0.2238+0.0017+0.0428</f>
        <v>5.9005000000000001</v>
      </c>
      <c r="CB51" s="52">
        <v>5.9374999999999991</v>
      </c>
      <c r="CC51" s="36">
        <v>5.9025000000000007</v>
      </c>
      <c r="CD51" s="36">
        <v>6.1794000000000002</v>
      </c>
      <c r="CE51" s="36">
        <f>4.216+0.6061+0.6488+0.224+0.0852+0.1056+0.2238+0.0017+0.0428+0.0364</f>
        <v>6.1904000000000003</v>
      </c>
      <c r="CF51" s="36">
        <f>4.8172+0.5361+0.06488+0.2224+0.0852+0.1204+0.2238+0.0017+0.0428+0.0364</f>
        <v>6.1508799999999999</v>
      </c>
      <c r="CG51" s="36">
        <f>5.1635+0.7147+0.6488+0.2224+0.0852+0.134+0.2238+0.0017+0.0428+0.0838</f>
        <v>7.3206999999999995</v>
      </c>
      <c r="CH51" s="36">
        <f>4.3595+0.5575+0.6488+0.2224+0.0852+0.2238+0.0017+0.0428+0.0838</f>
        <v>6.2254999999999994</v>
      </c>
      <c r="CI51" s="36">
        <f>4.3829+0.6648+0.6488+0.2224+0.0852+0.1181+0.1805+0.0017+0.0428+0.0838</f>
        <v>6.4310000000000009</v>
      </c>
      <c r="CJ51" s="36">
        <v>7.1397000000000004</v>
      </c>
      <c r="CK51" s="36">
        <f>3.8434+0.9161+0.6488+0.2224+0.0852+0.1147+0.1805+0.0017+0.0428+0.0838</f>
        <v>6.1394000000000011</v>
      </c>
      <c r="CL51" s="36">
        <f>3.8333+0.9831+0.6488+0.2224+0.0852+0.1151+0.1805+0.0017+0.0428+0.0838</f>
        <v>6.1966999999999999</v>
      </c>
      <c r="CM51" s="38">
        <f>3.8717+0.8706+0.6488+0.2224+0.0852+0.1129+0.1805+0.0017+0.0428+0.0838</f>
        <v>6.1204000000000001</v>
      </c>
      <c r="CN51" s="67">
        <f>3.6976+0.8633+0.6488+0.2224+0.0852+0.1063+0.1805+0.0017+0.0428+0.0838</f>
        <v>5.9324000000000003</v>
      </c>
      <c r="CO51" s="67">
        <f>3.6464+0.8802+0.6488+0.2224+0.0852+0.1046+0.01949+0.0044+0.0428+0.0838</f>
        <v>5.7380900000000006</v>
      </c>
      <c r="CP51" s="67">
        <f>3.583+0.9626+0.6488+0.2224+0.0852+0.1018+0.1949+0.0044+0.0428+0.1189</f>
        <v>5.9648000000000003</v>
      </c>
      <c r="CQ51" s="67"/>
      <c r="CR51" s="67"/>
      <c r="CS51" s="67"/>
      <c r="CT51" s="67"/>
      <c r="CU51" s="67"/>
      <c r="CV51" s="67"/>
      <c r="CW51" s="67"/>
      <c r="CX51" s="67"/>
      <c r="CY51" s="67"/>
    </row>
    <row r="52" spans="1:103" ht="45" customHeight="1">
      <c r="A52" s="39">
        <v>112</v>
      </c>
      <c r="B52" s="40" t="s">
        <v>195</v>
      </c>
      <c r="C52" s="41" t="s">
        <v>196</v>
      </c>
      <c r="D52" s="41" t="s">
        <v>134</v>
      </c>
      <c r="E52" s="41" t="s">
        <v>135</v>
      </c>
      <c r="F52" s="41" t="s">
        <v>118</v>
      </c>
      <c r="G52" s="42" t="s">
        <v>110</v>
      </c>
      <c r="H52" s="35">
        <v>10.724500000000001</v>
      </c>
      <c r="I52" s="36">
        <v>9.1287000000000003</v>
      </c>
      <c r="J52" s="36">
        <v>9.0861999999999998</v>
      </c>
      <c r="K52" s="36">
        <v>9.0833999999999993</v>
      </c>
      <c r="L52" s="36">
        <v>9.0695999999999994</v>
      </c>
      <c r="M52" s="36">
        <v>9.1471</v>
      </c>
      <c r="N52" s="36">
        <v>9.1286000000000005</v>
      </c>
      <c r="O52" s="36">
        <v>9.1214999999999993</v>
      </c>
      <c r="P52" s="36">
        <v>9.1373999999999995</v>
      </c>
      <c r="Q52" s="36">
        <v>9.1565999999999992</v>
      </c>
      <c r="R52" s="36">
        <v>9.1240000000000006</v>
      </c>
      <c r="S52" s="37">
        <v>9.1268999999999991</v>
      </c>
      <c r="T52" s="35">
        <v>9.1518999999999995</v>
      </c>
      <c r="U52" s="36">
        <v>9.1062999999999992</v>
      </c>
      <c r="V52" s="36">
        <v>9.1135000000000002</v>
      </c>
      <c r="W52" s="36">
        <v>8.9709000000000003</v>
      </c>
      <c r="X52" s="36">
        <v>9.0012000000000008</v>
      </c>
      <c r="Y52" s="36">
        <v>8.9410000000000007</v>
      </c>
      <c r="Z52" s="36">
        <v>8.9785000000000004</v>
      </c>
      <c r="AA52" s="36">
        <v>8.9553999999999991</v>
      </c>
      <c r="AB52" s="36">
        <v>8.9504999999999999</v>
      </c>
      <c r="AC52" s="36">
        <v>8.9664999999999999</v>
      </c>
      <c r="AD52" s="36">
        <v>8.9513999999999996</v>
      </c>
      <c r="AE52" s="37">
        <v>8.9613999999999994</v>
      </c>
      <c r="AF52" s="35"/>
      <c r="AG52" s="36"/>
      <c r="AH52" s="36"/>
      <c r="AI52" s="36"/>
      <c r="AJ52" s="36"/>
      <c r="AK52" s="36"/>
      <c r="AL52" s="36"/>
      <c r="AM52" s="36"/>
      <c r="AN52" s="36"/>
      <c r="AO52" s="36"/>
      <c r="AP52" s="36"/>
      <c r="AQ52" s="37"/>
      <c r="AR52" s="35">
        <v>8.8496000000000006</v>
      </c>
      <c r="AS52" s="36">
        <v>8.8347999999999995</v>
      </c>
      <c r="AT52" s="36">
        <v>9.6786999999999992</v>
      </c>
      <c r="AU52" s="36">
        <v>8.8597000000000001</v>
      </c>
      <c r="AV52" s="36"/>
      <c r="AW52" s="36"/>
      <c r="AX52" s="36">
        <v>8.8694000000000006</v>
      </c>
      <c r="AY52" s="36">
        <v>8.9917999999999996</v>
      </c>
      <c r="AZ52" s="36">
        <v>9.0067000000000004</v>
      </c>
      <c r="BA52" s="36">
        <v>9.0067000000000004</v>
      </c>
      <c r="BB52" s="36">
        <v>8.9738000000000007</v>
      </c>
      <c r="BC52" s="37">
        <v>8.9671000000000003</v>
      </c>
      <c r="BD52" s="35">
        <v>9.0335999999999999</v>
      </c>
      <c r="BE52" s="36">
        <v>8.8786000000000005</v>
      </c>
      <c r="BF52" s="36">
        <v>9.7074999999999996</v>
      </c>
      <c r="BG52" s="36">
        <v>9.8752999999999993</v>
      </c>
      <c r="BH52" s="36">
        <v>9.8681999999999999</v>
      </c>
      <c r="BI52" s="36">
        <v>9.8610000000000007</v>
      </c>
      <c r="BJ52" s="36">
        <v>9.8325999999999993</v>
      </c>
      <c r="BK52" s="36">
        <v>9.9208999999999996</v>
      </c>
      <c r="BL52" s="36">
        <v>10.6096</v>
      </c>
      <c r="BM52" s="36">
        <v>10.6096</v>
      </c>
      <c r="BN52" s="36">
        <v>9.9298000000000002</v>
      </c>
      <c r="BO52" s="37">
        <v>9.9293999999999993</v>
      </c>
      <c r="BP52" s="35">
        <v>9.9510000000000005</v>
      </c>
      <c r="BQ52" s="36">
        <v>9.7142999999999997</v>
      </c>
      <c r="BR52" s="36">
        <v>10.381399999999999</v>
      </c>
      <c r="BS52" s="36">
        <v>10.8032</v>
      </c>
      <c r="BT52" s="36">
        <v>10.4598</v>
      </c>
      <c r="BU52" s="36"/>
      <c r="BV52" s="36"/>
      <c r="BW52" s="36"/>
      <c r="BX52" s="36"/>
      <c r="BY52" s="36">
        <v>12.240399999999999</v>
      </c>
      <c r="BZ52" s="36">
        <v>12.240399999999999</v>
      </c>
      <c r="CA52" s="38"/>
      <c r="CB52" s="63">
        <v>12.553900000000001</v>
      </c>
      <c r="CC52" s="36">
        <v>12.505599999999999</v>
      </c>
      <c r="CD52" s="36">
        <v>12.9992</v>
      </c>
      <c r="CE52" s="36">
        <v>13.0815</v>
      </c>
      <c r="CF52" s="36"/>
      <c r="CG52" s="36">
        <v>13.073</v>
      </c>
      <c r="CH52" s="36">
        <v>13.062900000000001</v>
      </c>
      <c r="CI52" s="36">
        <v>13.016500000000001</v>
      </c>
      <c r="CJ52" s="36">
        <v>13.011100000000001</v>
      </c>
      <c r="CK52" s="36">
        <v>12.936400000000001</v>
      </c>
      <c r="CL52" s="36"/>
      <c r="CM52" s="38"/>
      <c r="CN52" s="36">
        <v>12.9313</v>
      </c>
      <c r="CO52" s="36">
        <v>13.0657</v>
      </c>
      <c r="CP52" s="36">
        <v>13.0616</v>
      </c>
      <c r="CQ52" s="36"/>
      <c r="CR52" s="36"/>
      <c r="CS52" s="36"/>
      <c r="CT52" s="36"/>
      <c r="CU52" s="36"/>
      <c r="CV52" s="36"/>
      <c r="CW52" s="36"/>
      <c r="CX52" s="36"/>
      <c r="CY52" s="36"/>
    </row>
    <row r="53" spans="1:103" ht="45" customHeight="1">
      <c r="A53" s="39">
        <v>103</v>
      </c>
      <c r="B53" s="40" t="s">
        <v>197</v>
      </c>
      <c r="C53" s="41" t="s">
        <v>198</v>
      </c>
      <c r="D53" s="41" t="s">
        <v>107</v>
      </c>
      <c r="E53" s="41" t="s">
        <v>113</v>
      </c>
      <c r="F53" s="41" t="s">
        <v>109</v>
      </c>
      <c r="G53" s="42" t="s">
        <v>114</v>
      </c>
      <c r="H53" s="35"/>
      <c r="I53" s="36"/>
      <c r="J53" s="36"/>
      <c r="K53" s="36"/>
      <c r="L53" s="36"/>
      <c r="M53" s="36"/>
      <c r="N53" s="36"/>
      <c r="O53" s="36"/>
      <c r="P53" s="36"/>
      <c r="Q53" s="36"/>
      <c r="R53" s="36"/>
      <c r="S53" s="37"/>
      <c r="T53" s="35"/>
      <c r="U53" s="36"/>
      <c r="V53" s="36"/>
      <c r="W53" s="36"/>
      <c r="X53" s="36"/>
      <c r="Y53" s="36"/>
      <c r="Z53" s="36"/>
      <c r="AA53" s="36"/>
      <c r="AB53" s="36"/>
      <c r="AC53" s="36"/>
      <c r="AD53" s="36"/>
      <c r="AE53" s="37"/>
      <c r="AF53" s="35"/>
      <c r="AG53" s="36"/>
      <c r="AH53" s="36"/>
      <c r="AI53" s="36"/>
      <c r="AJ53" s="36"/>
      <c r="AK53" s="36"/>
      <c r="AL53" s="36"/>
      <c r="AM53" s="36"/>
      <c r="AN53" s="36"/>
      <c r="AO53" s="36"/>
      <c r="AP53" s="36"/>
      <c r="AQ53" s="37"/>
      <c r="AR53" s="35"/>
      <c r="AS53" s="36"/>
      <c r="AT53" s="36"/>
      <c r="AU53" s="36"/>
      <c r="AV53" s="36"/>
      <c r="AW53" s="36"/>
      <c r="AX53" s="36"/>
      <c r="AY53" s="36"/>
      <c r="AZ53" s="36"/>
      <c r="BA53" s="36"/>
      <c r="BB53" s="36"/>
      <c r="BC53" s="37"/>
      <c r="BD53" s="35"/>
      <c r="BE53" s="36"/>
      <c r="BF53" s="36"/>
      <c r="BG53" s="36"/>
      <c r="BH53" s="36">
        <v>9.5739000000000001</v>
      </c>
      <c r="BI53" s="36">
        <v>9.7500999999999998</v>
      </c>
      <c r="BJ53" s="36">
        <v>10.1983</v>
      </c>
      <c r="BK53" s="36">
        <v>10.3841</v>
      </c>
      <c r="BL53" s="36">
        <v>10.1066</v>
      </c>
      <c r="BM53" s="36">
        <v>10.6266</v>
      </c>
      <c r="BN53" s="36">
        <v>10.305</v>
      </c>
      <c r="BO53" s="37">
        <v>10.205</v>
      </c>
      <c r="BP53" s="35">
        <v>10.384</v>
      </c>
      <c r="BQ53" s="36">
        <v>9.8026999999999997</v>
      </c>
      <c r="BR53" s="36">
        <v>10.116400000000001</v>
      </c>
      <c r="BS53" s="36">
        <v>9.8438999999999997</v>
      </c>
      <c r="BT53" s="36">
        <v>9.5006000000000004</v>
      </c>
      <c r="BU53" s="36">
        <v>9.8810000000000002</v>
      </c>
      <c r="BV53" s="36">
        <f>6.0368+0.5874+0.465+0.0443+0.0001+1.2081+0.4929+0.4189+0.2233+0.0428+0.0266</f>
        <v>9.5462000000000007</v>
      </c>
      <c r="BW53" s="36">
        <f>5.9531+0.5781+0.4616+0.0485+0.0001+1.2081+0.04929+0.4189+0.2233+0.0428+0.0266</f>
        <v>9.0103899999999992</v>
      </c>
      <c r="BX53" s="36">
        <v>9.3974000000000011</v>
      </c>
      <c r="BY53" s="36">
        <f>5.6084+0.5927+0.4372+0.0013+0.0001+1.2081+0.4929+0.4189+0.2494+0.0428+0.0266</f>
        <v>9.0783999999999985</v>
      </c>
      <c r="BZ53" s="36">
        <f>6.1544+0.7249+0.5056+0.0124+0.0001+1.2081+0.4929+0.4189+0.2494+0.0428+0.0266</f>
        <v>9.8361000000000001</v>
      </c>
      <c r="CA53" s="38">
        <f>5.2341+0.6941+0.4422+0.0136+0.0001+1.2081+0.4929+0.4189+0.2494+0.0428+0.0266</f>
        <v>8.8227999999999991</v>
      </c>
      <c r="CB53" s="48">
        <v>7.6334099999999978</v>
      </c>
      <c r="CC53" s="51">
        <v>9.0718000000000014</v>
      </c>
      <c r="CD53" s="36">
        <v>9.5422000000000029</v>
      </c>
      <c r="CE53" s="45">
        <v>9.3417000000000012</v>
      </c>
      <c r="CF53" s="45">
        <f>7.2064+0.5587+0.5995+0.0003+0.0001+1.2061+0.4929+0.4189+0.2255+0.0428+0.0364+0.0248</f>
        <v>10.812400000000002</v>
      </c>
      <c r="CG53" s="45">
        <f>8.6482+0.7508+0.7134+0.0004+0.0001+1.2081+0.4929+0.4189+0.0838+0.0248+0.0428+0.2255</f>
        <v>12.609700000000002</v>
      </c>
      <c r="CH53" s="45">
        <f>6.5034+0.5751+0.5324-0.0061+0.0001+1.2081+0.4929+0.4189+0.2255+0.0428+0.0838+0.0248</f>
        <v>10.101700000000001</v>
      </c>
      <c r="CI53" s="49">
        <f>6.958+0.7553+0.5818+0.0003+0.0001+1.2081+0.4189+0.1822+0.0428+0.0838+0.0248</f>
        <v>10.2561</v>
      </c>
      <c r="CJ53" s="45">
        <f>6.654+1.067+0.5776+0.0004+0.0001+1.2081+0.4929+0.4189+0.1822+0.0428+0.0838+0.0248</f>
        <v>10.752600000000003</v>
      </c>
      <c r="CK53" s="51">
        <f>6.2549+0.989+0.5382+0.0005+0.0001+1.2081+0.04929+0.4189+0.1822+0.0428+0.0838+0.0248</f>
        <v>9.7925900000000006</v>
      </c>
      <c r="CL53" s="51">
        <f>6.2239+1.0432+0.5327+0.0004+0.0001+1.2081+0.4929+0.4189+0.1822+0.0428+0.0838+0.0248</f>
        <v>10.253800000000002</v>
      </c>
      <c r="CM53" s="55">
        <f>6.3832+0.9497+0.5287+0.0005+0.0001+1.2081+0.4929+0.4189+0.1822+0.0428+0.0838+0.0248</f>
        <v>10.315700000000001</v>
      </c>
      <c r="CN53" s="65">
        <f>5.9037+0.9679+0.4886+0.0005+0.0001+1.2081+0.4929+0.4189+0.1822+0.0428+0.0838+0.021</f>
        <v>9.8105000000000011</v>
      </c>
      <c r="CO53" s="65">
        <f>-0.0013+5.7901+0.9162+0.4721+0.0005+0.0001+1.2081+0.4929+0.4189+0.1993+0.0428+0.0838+0.021</f>
        <v>9.6445000000000007</v>
      </c>
      <c r="CP53" s="65">
        <f>-0.0013+5.6013+1.0757+0.4681+0.0005+0.0001+1.2081+0.4929+0.4189+0.1993+0.0428+0.1189+0.021</f>
        <v>9.6463000000000001</v>
      </c>
      <c r="CQ53" s="65"/>
      <c r="CR53" s="65"/>
      <c r="CS53" s="65"/>
      <c r="CT53" s="65"/>
      <c r="CU53" s="65"/>
      <c r="CV53" s="65"/>
      <c r="CW53" s="65"/>
      <c r="CX53" s="65"/>
      <c r="CY53" s="65"/>
    </row>
    <row r="54" spans="1:103" ht="45" customHeight="1">
      <c r="A54" s="39">
        <v>66</v>
      </c>
      <c r="B54" s="40" t="s">
        <v>199</v>
      </c>
      <c r="C54" s="41" t="s">
        <v>200</v>
      </c>
      <c r="D54" s="41" t="s">
        <v>107</v>
      </c>
      <c r="E54" s="41" t="s">
        <v>117</v>
      </c>
      <c r="F54" s="41" t="s">
        <v>118</v>
      </c>
      <c r="G54" s="42" t="s">
        <v>114</v>
      </c>
      <c r="H54" s="35">
        <v>9.0891999999999999</v>
      </c>
      <c r="I54" s="36">
        <v>9.5771999999999995</v>
      </c>
      <c r="J54" s="36">
        <v>9.3651999999999997</v>
      </c>
      <c r="K54" s="36">
        <v>10.203099999999999</v>
      </c>
      <c r="L54" s="36">
        <v>9.5352999999999994</v>
      </c>
      <c r="M54" s="36">
        <v>9.9642999999999997</v>
      </c>
      <c r="N54" s="36">
        <v>10.208399999999999</v>
      </c>
      <c r="O54" s="36">
        <v>10.368499999999999</v>
      </c>
      <c r="P54" s="36">
        <v>10.1053</v>
      </c>
      <c r="Q54" s="36">
        <v>9.8557000000000006</v>
      </c>
      <c r="R54" s="36">
        <v>10.1509</v>
      </c>
      <c r="S54" s="37">
        <v>9.4084000000000003</v>
      </c>
      <c r="T54" s="35">
        <v>9.5652000000000008</v>
      </c>
      <c r="U54" s="36">
        <v>9.7428000000000008</v>
      </c>
      <c r="V54" s="36">
        <v>9.4865999999999993</v>
      </c>
      <c r="W54" s="36">
        <v>9.4053000000000004</v>
      </c>
      <c r="X54" s="36">
        <v>9.4231999999999996</v>
      </c>
      <c r="Y54" s="36">
        <v>9.1174999999999997</v>
      </c>
      <c r="Z54" s="36">
        <v>9.4098000000000006</v>
      </c>
      <c r="AA54" s="36">
        <v>9.6059999999999999</v>
      </c>
      <c r="AB54" s="36">
        <v>9.3859999999999992</v>
      </c>
      <c r="AC54" s="36">
        <v>7.9759000000000002</v>
      </c>
      <c r="AD54" s="36">
        <v>7.7274000000000003</v>
      </c>
      <c r="AE54" s="37">
        <v>8.7653999999999996</v>
      </c>
      <c r="AF54" s="35">
        <v>8.6882999999999999</v>
      </c>
      <c r="AG54" s="36">
        <v>8.9390999999999998</v>
      </c>
      <c r="AH54" s="36">
        <v>9.0028000000000006</v>
      </c>
      <c r="AI54" s="36">
        <v>8.9154</v>
      </c>
      <c r="AJ54" s="36">
        <v>9.4441000000000006</v>
      </c>
      <c r="AK54" s="36">
        <v>8.4582999999999995</v>
      </c>
      <c r="AL54" s="36">
        <v>8.8240999999999996</v>
      </c>
      <c r="AM54" s="36">
        <v>8.8271999999999995</v>
      </c>
      <c r="AN54" s="36">
        <v>8.3422999999999998</v>
      </c>
      <c r="AO54" s="36">
        <v>8.6079000000000008</v>
      </c>
      <c r="AP54" s="36">
        <v>9.2635000000000005</v>
      </c>
      <c r="AQ54" s="37">
        <v>8.0358000000000001</v>
      </c>
      <c r="AR54" s="35">
        <v>8.6844000000000001</v>
      </c>
      <c r="AS54" s="36">
        <v>9.7653999999999996</v>
      </c>
      <c r="AT54" s="36">
        <v>9.7265999999999995</v>
      </c>
      <c r="AU54" s="36">
        <v>9.3795000000000002</v>
      </c>
      <c r="AV54" s="36">
        <v>9.3522999999999996</v>
      </c>
      <c r="AW54" s="36">
        <v>7.8766999999999996</v>
      </c>
      <c r="AX54" s="36">
        <v>8.8512000000000004</v>
      </c>
      <c r="AY54" s="36">
        <v>10.7159</v>
      </c>
      <c r="AZ54" s="36">
        <v>10.6508</v>
      </c>
      <c r="BA54" s="36">
        <v>8.4816000000000003</v>
      </c>
      <c r="BB54" s="36">
        <v>8.3425999999999991</v>
      </c>
      <c r="BC54" s="37">
        <v>7.0723000000000003</v>
      </c>
      <c r="BD54" s="35">
        <v>6.0909000000000004</v>
      </c>
      <c r="BE54" s="36">
        <v>10.0351</v>
      </c>
      <c r="BF54" s="36">
        <v>9.2027999999999999</v>
      </c>
      <c r="BG54" s="36">
        <v>9.8462999999999994</v>
      </c>
      <c r="BH54" s="36">
        <v>9.5829000000000004</v>
      </c>
      <c r="BI54" s="36">
        <v>10.543100000000001</v>
      </c>
      <c r="BJ54" s="36">
        <v>12.5558</v>
      </c>
      <c r="BK54" s="36">
        <v>13.9975</v>
      </c>
      <c r="BL54" s="36">
        <v>14.241</v>
      </c>
      <c r="BM54" s="36">
        <v>13.979900000000001</v>
      </c>
      <c r="BN54" s="36">
        <v>14.7979</v>
      </c>
      <c r="BO54" s="37">
        <v>14.603300000000001</v>
      </c>
      <c r="BP54" s="35">
        <v>13.487299999999999</v>
      </c>
      <c r="BQ54" s="36">
        <v>13.212999999999999</v>
      </c>
      <c r="BR54" s="47">
        <v>12.1036</v>
      </c>
      <c r="BS54" s="36">
        <v>11.101000000000001</v>
      </c>
      <c r="BT54" s="36">
        <v>11.4678</v>
      </c>
      <c r="BU54" s="36">
        <f>12.7835-1.4372</f>
        <v>11.346299999999999</v>
      </c>
      <c r="BV54" s="36">
        <f>11.5933-1.3206</f>
        <v>10.272699999999999</v>
      </c>
      <c r="BW54" s="36">
        <f>11.3016-1.2788</f>
        <v>10.0228</v>
      </c>
      <c r="BX54" s="36">
        <v>11.076700000000001</v>
      </c>
      <c r="BY54" s="36">
        <v>11.0237</v>
      </c>
      <c r="BZ54" s="36">
        <v>11.7448</v>
      </c>
      <c r="CA54" s="38">
        <v>10.769399999999999</v>
      </c>
      <c r="CB54" s="48">
        <v>10.835000000000001</v>
      </c>
      <c r="CC54" s="51">
        <v>11.785600000000001</v>
      </c>
      <c r="CD54" s="45">
        <v>10.2279</v>
      </c>
      <c r="CE54" s="45">
        <v>11.9566</v>
      </c>
      <c r="CF54" s="45">
        <v>15.1632</v>
      </c>
      <c r="CG54" s="45">
        <v>12.763199999999999</v>
      </c>
      <c r="CH54" s="45">
        <v>13.345700000000001</v>
      </c>
      <c r="CI54" s="49">
        <v>10.837999999999999</v>
      </c>
      <c r="CJ54" s="36">
        <v>10.501799999999999</v>
      </c>
      <c r="CK54" s="45">
        <v>10.837999999999999</v>
      </c>
      <c r="CL54" s="45"/>
      <c r="CM54" s="38">
        <f>Table145[[#This Row],[Jan-25]]-0.5095</f>
        <v>11.187600000000002</v>
      </c>
      <c r="CN54" s="36">
        <v>11.697100000000001</v>
      </c>
      <c r="CO54" s="45">
        <v>12.1477</v>
      </c>
      <c r="CP54" s="45">
        <v>11.476599999999999</v>
      </c>
      <c r="CQ54" s="45"/>
      <c r="CR54" s="45"/>
      <c r="CS54" s="45"/>
      <c r="CT54" s="45"/>
      <c r="CU54" s="45"/>
      <c r="CV54" s="45"/>
      <c r="CW54" s="45"/>
      <c r="CX54" s="45"/>
      <c r="CY54" s="45"/>
    </row>
    <row r="55" spans="1:103" ht="45" customHeight="1">
      <c r="A55" s="39">
        <v>26</v>
      </c>
      <c r="B55" s="40" t="s">
        <v>201</v>
      </c>
      <c r="C55" s="41" t="s">
        <v>202</v>
      </c>
      <c r="D55" s="41" t="s">
        <v>107</v>
      </c>
      <c r="E55" s="41" t="s">
        <v>203</v>
      </c>
      <c r="F55" s="41" t="s">
        <v>109</v>
      </c>
      <c r="G55" s="42" t="s">
        <v>110</v>
      </c>
      <c r="H55" s="35"/>
      <c r="I55" s="36"/>
      <c r="J55" s="36"/>
      <c r="K55" s="36"/>
      <c r="L55" s="36"/>
      <c r="M55" s="36"/>
      <c r="N55" s="36"/>
      <c r="O55" s="36"/>
      <c r="P55" s="36"/>
      <c r="Q55" s="36"/>
      <c r="R55" s="36"/>
      <c r="S55" s="37"/>
      <c r="T55" s="35"/>
      <c r="U55" s="36"/>
      <c r="V55" s="36"/>
      <c r="W55" s="36"/>
      <c r="X55" s="36"/>
      <c r="Y55" s="36"/>
      <c r="Z55" s="36"/>
      <c r="AA55" s="36"/>
      <c r="AB55" s="36">
        <f>5.6493+0.7236+0.8787+0.4613+0.5376+0.3206+0.4456+0.0161+0.5947+0.0851+0.1103+0.0428+0.0543+0.154+0.0017+0.0025+0.2226+0.0002</f>
        <v>10.301</v>
      </c>
      <c r="AC55" s="36">
        <f>5.6432+0.7566+0.8838+0.4613+0.5376+0.3205+0.4456+0.017+0.5841+0.0863+0.1109+0.0428+0.0543+0.154+0.0017+0.0025+0.2226+0.0003</f>
        <v>10.325099999999996</v>
      </c>
      <c r="AD55" s="36">
        <f>5.6284+0.679+0.8673+0.4613+0.5376+0.3205+0.4456+0.0172+0.5928+0.075+0.1089+0.0428+0.0543+0.154+0.0017+0.0025+0.2226+0.0002</f>
        <v>10.211699999999999</v>
      </c>
      <c r="AE55" s="37">
        <f>5.624+0.7147+0.8764+0.4613+0.5376+0.3205+0.4456+0.0145+0.5927+0.0859+0.11+0.0428+0.0543+0.154+0.0017+0.0025+0.2226+0.0002</f>
        <v>10.261299999999997</v>
      </c>
      <c r="AF55" s="35">
        <f>5.57+0.6834+0.8667+0.4613+0.5376+0.3205+0.4456+0.0145+0.5927+0.0859+0.11+0.0428+0.0543+0.154+0.0017+0.0025+0.2226+0.0002</f>
        <v>10.166299999999998</v>
      </c>
      <c r="AG55" s="36">
        <f t="shared" ref="AG55:AQ55" si="1">5.624+0.7147+0.8764+0.4613+0.5376+0.3205+0.4456+0.0145+0.5927+0.0859+0.11+0.0428+0.0543+0.154+0.0017+0.0025+0.2226+0.0002</f>
        <v>10.261299999999997</v>
      </c>
      <c r="AH55" s="36">
        <f t="shared" si="1"/>
        <v>10.261299999999997</v>
      </c>
      <c r="AI55" s="36">
        <f t="shared" si="1"/>
        <v>10.261299999999997</v>
      </c>
      <c r="AJ55" s="36">
        <f t="shared" si="1"/>
        <v>10.261299999999997</v>
      </c>
      <c r="AK55" s="36">
        <f t="shared" si="1"/>
        <v>10.261299999999997</v>
      </c>
      <c r="AL55" s="36">
        <f t="shared" si="1"/>
        <v>10.261299999999997</v>
      </c>
      <c r="AM55" s="36">
        <f t="shared" si="1"/>
        <v>10.261299999999997</v>
      </c>
      <c r="AN55" s="36">
        <f t="shared" si="1"/>
        <v>10.261299999999997</v>
      </c>
      <c r="AO55" s="36">
        <f t="shared" si="1"/>
        <v>10.261299999999997</v>
      </c>
      <c r="AP55" s="36">
        <f t="shared" si="1"/>
        <v>10.261299999999997</v>
      </c>
      <c r="AQ55" s="37">
        <f t="shared" si="1"/>
        <v>10.261299999999997</v>
      </c>
      <c r="AR55" s="35"/>
      <c r="AS55" s="36"/>
      <c r="AT55" s="36"/>
      <c r="AU55" s="36"/>
      <c r="AV55" s="36"/>
      <c r="AW55" s="36"/>
      <c r="AX55" s="36"/>
      <c r="AY55" s="36"/>
      <c r="AZ55" s="36"/>
      <c r="BA55" s="36"/>
      <c r="BB55" s="36"/>
      <c r="BC55" s="37"/>
      <c r="BD55" s="35">
        <v>10.5067</v>
      </c>
      <c r="BE55" s="36">
        <v>10.688499999999999</v>
      </c>
      <c r="BF55" s="36">
        <v>10.7654</v>
      </c>
      <c r="BG55" s="36">
        <v>11.461</v>
      </c>
      <c r="BH55" s="36">
        <v>12.177199999999999</v>
      </c>
      <c r="BI55" s="36">
        <v>12.7934</v>
      </c>
      <c r="BJ55" s="36">
        <v>15.227600000000001</v>
      </c>
      <c r="BK55" s="36">
        <v>15.298500000000001</v>
      </c>
      <c r="BL55" s="36">
        <v>15.0707</v>
      </c>
      <c r="BM55" s="36"/>
      <c r="BN55" s="36">
        <v>16.3536</v>
      </c>
      <c r="BO55" s="37">
        <v>17.984300000000001</v>
      </c>
      <c r="BP55" s="35">
        <v>18.7563</v>
      </c>
      <c r="BQ55" s="36">
        <v>17.794799999999999</v>
      </c>
      <c r="BR55" s="36">
        <v>14.815899999999999</v>
      </c>
      <c r="BS55" s="36">
        <v>13.183199999999999</v>
      </c>
      <c r="BT55" s="36">
        <v>11.293699999999999</v>
      </c>
      <c r="BU55" s="36">
        <f>8.1979+0.5253+1.1206+0.4613+0.5376+0.3205+0.4456+0.0253+0.428+0.1783+0.045</f>
        <v>12.285400000000001</v>
      </c>
      <c r="BV55" s="36">
        <f>7.9956+0.123+1.089+0.4613+0.5376+0.3205+0.4456-0.1799+0.0428+0.1783+0.045</f>
        <v>11.058799999999998</v>
      </c>
      <c r="BW55" s="36">
        <f>8.4817+0.545+1.1529+0.4613+0.5376+0.3205+0.4456+0.0241+0.0428+0.1783+0.045+0.0003</f>
        <v>12.235099999999999</v>
      </c>
      <c r="BX55" s="36">
        <v>11.576999999999996</v>
      </c>
      <c r="BY55" s="36">
        <f>7.837+0.5653+1.0995+0.4613+0.5376+0.3205+0.4456+0.0256+0.9014+0.0729+0.1293+0.0428+0.1822+0.0672+0.0003</f>
        <v>12.688499999999999</v>
      </c>
      <c r="BZ55" s="36">
        <f>7.3572+0.6717+1.0625+0.04613+0.5376+0.3205+0.4456+0.0257+0.0052+0.0066+0.0428+0.1822+0.0672+0.0003</f>
        <v>10.771229999999999</v>
      </c>
      <c r="CA55" s="38">
        <f>7.3566+0.643+1.0635+0.4613+0.5376+0.3205+0.4456+0.0225+0.0052+0.0066+0.0428+0.1822+0.0672+0.0002</f>
        <v>11.154800000000002</v>
      </c>
      <c r="CB55" s="43">
        <v>11.873399999999997</v>
      </c>
      <c r="CC55" s="44">
        <v>11.258499999999998</v>
      </c>
      <c r="CD55" s="44">
        <v>11.547299999999996</v>
      </c>
      <c r="CE55" s="44">
        <v>9.8397000000000006</v>
      </c>
      <c r="CF55" s="44">
        <f>7.0528+0.4721+1.0536+0.4613+0.5376+0.3205+0.4456+0.0428+0.1822+0.0433+0.0364+0.0001</f>
        <v>10.648300000000001</v>
      </c>
      <c r="CG55" s="44">
        <f>7.0888+0.6624+1.1025+0.4613+0.5376+0.3205+0.4456+0.0428+0.1822+0.0433+0.0838+0.0001</f>
        <v>10.970899999999999</v>
      </c>
      <c r="CH55" s="44">
        <f>6.9574+0.5414+1.0622+0.4613+0.5376+0.3205+0.4456+0.0428+0.1822+0.0433+0.0838+0.0002</f>
        <v>10.678299999999998</v>
      </c>
      <c r="CI55" s="44">
        <f>7.7346+0.6623+1.1845+0.4613+0.5376+0.3205+0.4456+0.0428+0.1822+0.0838+0.0002</f>
        <v>11.6554</v>
      </c>
      <c r="CJ55" s="44">
        <f>7.4155+0.969+1.1809+0.4613+0.5376+0.3205+0.4456+0.0001+0.0428+0.1822+0.0838+0.0002</f>
        <v>11.639499999999998</v>
      </c>
      <c r="CK55" s="44">
        <f>7.6204+0.9475+1.151+0.461+0.5376+0.3205+0.0001+0.4456+0.0428+0.1822+0.0838+0.0002</f>
        <v>11.7927</v>
      </c>
      <c r="CL55" s="44">
        <v>12.596299999999999</v>
      </c>
      <c r="CM55" s="46">
        <f>7.3052+0.8545+1.0797+0.4613+0.5376+0.3205+0.4456+0.0001+0.0089+0.0098+0.0097+0.0428+0.1822+0.0838+0.0002</f>
        <v>11.341900000000003</v>
      </c>
      <c r="CN55" s="69">
        <f>10.9772+0.0428+0.1822+0.0838+0.0002</f>
        <v>11.286199999999999</v>
      </c>
      <c r="CO55" s="53">
        <f>6.8397+0.8412+1.029+0.4613+0.5376+0.3205+0.4456+0.0001+0.0428+0.1993+0.0838+0.0002</f>
        <v>10.801099999999998</v>
      </c>
      <c r="CP55" s="69">
        <f>6.3662+0.9887+0.9878+0.4613+0.5376+0.3205+0.4456+0.0001+0.0428+0.1993+0.1189+0.0002</f>
        <v>10.468999999999998</v>
      </c>
      <c r="CQ55" s="69">
        <f>6.2956+1.0874+0.9936+0.4613+0.5376+0.3205+0.4456+0.0001+0.0428+0.1993+0.1189+0.0002</f>
        <v>10.502899999999997</v>
      </c>
      <c r="CR55" s="69"/>
      <c r="CS55" s="69"/>
      <c r="CT55" s="69"/>
      <c r="CU55" s="69"/>
      <c r="CV55" s="69"/>
      <c r="CW55" s="69"/>
      <c r="CX55" s="69"/>
      <c r="CY55" s="69"/>
    </row>
    <row r="56" spans="1:103" ht="45" customHeight="1">
      <c r="A56" s="39">
        <v>110</v>
      </c>
      <c r="B56" s="40" t="s">
        <v>204</v>
      </c>
      <c r="C56" s="41" t="s">
        <v>205</v>
      </c>
      <c r="D56" s="41" t="s">
        <v>107</v>
      </c>
      <c r="E56" s="41" t="s">
        <v>166</v>
      </c>
      <c r="F56" s="41" t="s">
        <v>125</v>
      </c>
      <c r="G56" s="42" t="s">
        <v>114</v>
      </c>
      <c r="H56" s="35"/>
      <c r="I56" s="36"/>
      <c r="J56" s="36"/>
      <c r="K56" s="36"/>
      <c r="L56" s="36"/>
      <c r="M56" s="36"/>
      <c r="N56" s="36"/>
      <c r="O56" s="36"/>
      <c r="P56" s="36"/>
      <c r="Q56" s="36"/>
      <c r="R56" s="36"/>
      <c r="S56" s="37"/>
      <c r="T56" s="35"/>
      <c r="U56" s="36"/>
      <c r="V56" s="36"/>
      <c r="W56" s="36"/>
      <c r="X56" s="36"/>
      <c r="Y56" s="36"/>
      <c r="Z56" s="36"/>
      <c r="AA56" s="36"/>
      <c r="AB56" s="36"/>
      <c r="AC56" s="36"/>
      <c r="AD56" s="36"/>
      <c r="AE56" s="37"/>
      <c r="AF56" s="35"/>
      <c r="AG56" s="36"/>
      <c r="AH56" s="36"/>
      <c r="AI56" s="36"/>
      <c r="AJ56" s="36"/>
      <c r="AK56" s="36"/>
      <c r="AL56" s="36"/>
      <c r="AM56" s="36"/>
      <c r="AN56" s="36"/>
      <c r="AO56" s="36"/>
      <c r="AP56" s="36"/>
      <c r="AQ56" s="37"/>
      <c r="AR56" s="35"/>
      <c r="AS56" s="36"/>
      <c r="AT56" s="36"/>
      <c r="AU56" s="36"/>
      <c r="AV56" s="36"/>
      <c r="AW56" s="36"/>
      <c r="AX56" s="36"/>
      <c r="AY56" s="36"/>
      <c r="AZ56" s="36"/>
      <c r="BA56" s="36"/>
      <c r="BB56" s="36"/>
      <c r="BC56" s="37"/>
      <c r="BD56" s="35">
        <v>12.2</v>
      </c>
      <c r="BE56" s="36">
        <v>12.37</v>
      </c>
      <c r="BF56" s="36">
        <v>13.34</v>
      </c>
      <c r="BG56" s="36">
        <v>13.34</v>
      </c>
      <c r="BH56" s="36">
        <v>15.36</v>
      </c>
      <c r="BI56" s="36">
        <v>15.35</v>
      </c>
      <c r="BJ56" s="36">
        <v>15.38</v>
      </c>
      <c r="BK56" s="36">
        <v>15.8</v>
      </c>
      <c r="BL56" s="36">
        <v>15.77</v>
      </c>
      <c r="BM56" s="36">
        <v>15.78</v>
      </c>
      <c r="BN56" s="36"/>
      <c r="BO56" s="37"/>
      <c r="BP56" s="35">
        <v>16.02</v>
      </c>
      <c r="BQ56" s="36">
        <v>15.71</v>
      </c>
      <c r="BR56" s="36">
        <v>15.36</v>
      </c>
      <c r="BS56" s="36">
        <v>15.61</v>
      </c>
      <c r="BT56" s="36">
        <v>15.61</v>
      </c>
      <c r="BU56" s="36">
        <v>14.85</v>
      </c>
      <c r="BV56" s="36">
        <v>13.43</v>
      </c>
      <c r="BW56" s="36">
        <v>13.66</v>
      </c>
      <c r="BX56" s="36">
        <v>13.774800000000001</v>
      </c>
      <c r="BY56" s="36">
        <v>13.5</v>
      </c>
      <c r="BZ56" s="36">
        <v>14.36</v>
      </c>
      <c r="CA56" s="38">
        <v>16.677600000000002</v>
      </c>
      <c r="CB56" s="35">
        <v>11.1191</v>
      </c>
      <c r="CC56" s="36">
        <v>11.123200000000001</v>
      </c>
      <c r="CD56" s="36">
        <v>10.6645</v>
      </c>
      <c r="CE56" s="36">
        <v>12.308299999999999</v>
      </c>
      <c r="CF56" s="36">
        <v>12.615</v>
      </c>
      <c r="CG56" s="36">
        <v>11.088200000000001</v>
      </c>
      <c r="CH56" s="36">
        <v>13.145899999999999</v>
      </c>
      <c r="CI56" s="36" t="s">
        <v>206</v>
      </c>
      <c r="CJ56" s="36" t="s">
        <v>207</v>
      </c>
      <c r="CK56" s="36" t="s">
        <v>208</v>
      </c>
      <c r="CL56" s="36" t="s">
        <v>209</v>
      </c>
      <c r="CM56" s="36" t="s">
        <v>210</v>
      </c>
      <c r="CN56" s="70"/>
      <c r="CO56" s="70"/>
      <c r="CP56" s="70"/>
      <c r="CQ56" s="70"/>
      <c r="CR56" s="70"/>
      <c r="CS56" s="70"/>
      <c r="CT56" s="70"/>
      <c r="CU56" s="70"/>
      <c r="CV56" s="70"/>
      <c r="CW56" s="70"/>
      <c r="CX56" s="70"/>
      <c r="CY56" s="70"/>
    </row>
    <row r="57" spans="1:103" ht="45" customHeight="1">
      <c r="A57" s="39">
        <v>98</v>
      </c>
      <c r="B57" s="40" t="s">
        <v>211</v>
      </c>
      <c r="C57" s="41" t="s">
        <v>212</v>
      </c>
      <c r="D57" s="41" t="s">
        <v>107</v>
      </c>
      <c r="E57" s="41" t="s">
        <v>213</v>
      </c>
      <c r="F57" s="41" t="s">
        <v>125</v>
      </c>
      <c r="G57" s="42" t="s">
        <v>114</v>
      </c>
      <c r="H57" s="35">
        <v>8.4024000000000001</v>
      </c>
      <c r="I57" s="36">
        <v>8.5929000000000002</v>
      </c>
      <c r="J57" s="36">
        <v>8.0907999999999998</v>
      </c>
      <c r="K57" s="36">
        <v>8.5188000000000006</v>
      </c>
      <c r="L57" s="36">
        <v>8.5852000000000004</v>
      </c>
      <c r="M57" s="36">
        <v>9.1509</v>
      </c>
      <c r="N57" s="36">
        <v>9.8628</v>
      </c>
      <c r="O57" s="36">
        <v>4.2183000000000002</v>
      </c>
      <c r="P57" s="36">
        <v>9.0528999999999993</v>
      </c>
      <c r="Q57" s="36">
        <v>9.0774000000000008</v>
      </c>
      <c r="R57" s="36">
        <v>9.2725000000000009</v>
      </c>
      <c r="S57" s="37">
        <v>9.0983000000000001</v>
      </c>
      <c r="T57" s="35"/>
      <c r="U57" s="36"/>
      <c r="V57" s="36"/>
      <c r="W57" s="36"/>
      <c r="X57" s="36"/>
      <c r="Y57" s="36"/>
      <c r="Z57" s="36"/>
      <c r="AA57" s="36"/>
      <c r="AB57" s="36"/>
      <c r="AC57" s="36"/>
      <c r="AD57" s="36"/>
      <c r="AE57" s="37"/>
      <c r="AF57" s="35"/>
      <c r="AG57" s="36"/>
      <c r="AH57" s="36"/>
      <c r="AI57" s="36"/>
      <c r="AJ57" s="36"/>
      <c r="AK57" s="36"/>
      <c r="AL57" s="36"/>
      <c r="AM57" s="36"/>
      <c r="AN57" s="36"/>
      <c r="AO57" s="36"/>
      <c r="AP57" s="36"/>
      <c r="AQ57" s="37"/>
      <c r="AR57" s="35"/>
      <c r="AS57" s="36"/>
      <c r="AT57" s="36"/>
      <c r="AU57" s="36"/>
      <c r="AV57" s="36"/>
      <c r="AW57" s="36"/>
      <c r="AX57" s="36"/>
      <c r="AY57" s="36"/>
      <c r="AZ57" s="36"/>
      <c r="BA57" s="36"/>
      <c r="BB57" s="36"/>
      <c r="BC57" s="37"/>
      <c r="BD57" s="35">
        <v>8.4558999999999997</v>
      </c>
      <c r="BE57" s="36">
        <v>8.5710999999999995</v>
      </c>
      <c r="BF57" s="36">
        <v>8.7767999999999997</v>
      </c>
      <c r="BG57" s="36">
        <v>9.0998000000000001</v>
      </c>
      <c r="BH57" s="36">
        <v>8.8355999999999995</v>
      </c>
      <c r="BI57" s="36">
        <v>9.4265000000000008</v>
      </c>
      <c r="BJ57" s="36">
        <v>9.1416000000000004</v>
      </c>
      <c r="BK57" s="36">
        <v>9.4562000000000008</v>
      </c>
      <c r="BL57" s="36">
        <v>8.8313000000000006</v>
      </c>
      <c r="BM57" s="36">
        <v>7.7835000000000001</v>
      </c>
      <c r="BN57" s="36">
        <v>8.5248000000000008</v>
      </c>
      <c r="BO57" s="37">
        <v>9.2212999999999994</v>
      </c>
      <c r="BP57" s="35">
        <v>8.8411000000000008</v>
      </c>
      <c r="BQ57" s="36">
        <v>9.7200000000000006</v>
      </c>
      <c r="BR57" s="47">
        <v>10.125500000000001</v>
      </c>
      <c r="BS57" s="36">
        <v>10.7562</v>
      </c>
      <c r="BT57" s="36">
        <v>9.8605</v>
      </c>
      <c r="BU57" s="36">
        <v>9.31</v>
      </c>
      <c r="BV57" s="36">
        <v>7.87</v>
      </c>
      <c r="BW57" s="36">
        <f>4.0691+0.3048+0.3184+1.9002+0.4573+0.0107+0.0856+0.0003+0.655+0.0488+0.0013+0.2896+0.0334+0.0281+0.021+0.0071+0.2233+0.0428</f>
        <v>8.4968000000000004</v>
      </c>
      <c r="BX57" s="36">
        <v>8.5</v>
      </c>
      <c r="BY57" s="36">
        <v>8.15</v>
      </c>
      <c r="BZ57" s="36">
        <v>8.3774999999999995</v>
      </c>
      <c r="CA57" s="38">
        <v>7.95</v>
      </c>
      <c r="CB57" s="63">
        <v>7.7983999999999991</v>
      </c>
      <c r="CC57" s="45">
        <v>8.0373001000000013</v>
      </c>
      <c r="CD57" s="45">
        <v>7.9633999999999991</v>
      </c>
      <c r="CE57" s="45">
        <v>8.5374999999999996</v>
      </c>
      <c r="CF57" s="45">
        <v>10.4359</v>
      </c>
      <c r="CG57" s="36">
        <v>7.1243999999999996</v>
      </c>
      <c r="CH57" s="36">
        <v>9.6</v>
      </c>
      <c r="CI57" s="45">
        <v>9.75</v>
      </c>
      <c r="CJ57" s="45">
        <v>8.8828999999999994</v>
      </c>
      <c r="CK57" s="45">
        <v>7.84</v>
      </c>
      <c r="CL57" s="45">
        <v>8.61</v>
      </c>
      <c r="CM57" s="50">
        <v>8.5500000000000007</v>
      </c>
      <c r="CN57" s="45">
        <v>8.0500000000000007</v>
      </c>
      <c r="CO57" s="45">
        <v>7.44</v>
      </c>
      <c r="CP57" s="45">
        <v>7.65</v>
      </c>
      <c r="CQ57" s="45"/>
      <c r="CR57" s="45"/>
      <c r="CS57" s="45"/>
      <c r="CT57" s="45"/>
      <c r="CU57" s="45"/>
      <c r="CV57" s="45"/>
      <c r="CW57" s="45"/>
      <c r="CX57" s="45"/>
      <c r="CY57" s="45"/>
    </row>
    <row r="58" spans="1:103" ht="45" customHeight="1">
      <c r="A58" s="39">
        <v>27</v>
      </c>
      <c r="B58" s="40" t="s">
        <v>214</v>
      </c>
      <c r="C58" s="41" t="s">
        <v>215</v>
      </c>
      <c r="D58" s="41" t="s">
        <v>107</v>
      </c>
      <c r="E58" s="41" t="s">
        <v>213</v>
      </c>
      <c r="F58" s="41" t="s">
        <v>125</v>
      </c>
      <c r="G58" s="42" t="s">
        <v>110</v>
      </c>
      <c r="H58" s="35">
        <v>11.3695</v>
      </c>
      <c r="I58" s="36">
        <v>10.544</v>
      </c>
      <c r="J58" s="36"/>
      <c r="K58" s="36">
        <v>10.5143</v>
      </c>
      <c r="L58" s="36">
        <v>11.3025</v>
      </c>
      <c r="M58" s="36">
        <v>10.664400000000001</v>
      </c>
      <c r="N58" s="36">
        <v>10.9872</v>
      </c>
      <c r="O58" s="36">
        <v>11.3835</v>
      </c>
      <c r="P58" s="36"/>
      <c r="Q58" s="36"/>
      <c r="R58" s="36">
        <v>11.156000000000001</v>
      </c>
      <c r="S58" s="37">
        <v>10.947800000000001</v>
      </c>
      <c r="T58" s="35"/>
      <c r="U58" s="36">
        <v>10.7563</v>
      </c>
      <c r="V58" s="36">
        <v>10.7332</v>
      </c>
      <c r="W58" s="36">
        <v>10.243399999999999</v>
      </c>
      <c r="X58" s="36">
        <v>10.3027</v>
      </c>
      <c r="Y58" s="36">
        <v>10.2775</v>
      </c>
      <c r="Z58" s="36"/>
      <c r="AA58" s="36">
        <v>10.155799999999999</v>
      </c>
      <c r="AB58" s="36">
        <v>10.3673</v>
      </c>
      <c r="AC58" s="36"/>
      <c r="AD58" s="36">
        <v>10.464700000000001</v>
      </c>
      <c r="AE58" s="37">
        <v>11.2515</v>
      </c>
      <c r="AF58" s="35"/>
      <c r="AG58" s="36"/>
      <c r="AH58" s="36">
        <v>14.2477</v>
      </c>
      <c r="AI58" s="36"/>
      <c r="AJ58" s="36">
        <v>9.7855000000000008</v>
      </c>
      <c r="AK58" s="36">
        <v>10.6134</v>
      </c>
      <c r="AL58" s="36">
        <v>10.231299999999999</v>
      </c>
      <c r="AM58" s="36"/>
      <c r="AN58" s="36">
        <v>13.8668</v>
      </c>
      <c r="AO58" s="36"/>
      <c r="AP58" s="36"/>
      <c r="AQ58" s="37">
        <v>10.3874</v>
      </c>
      <c r="AR58" s="35">
        <v>10.3514</v>
      </c>
      <c r="AS58" s="36"/>
      <c r="AT58" s="36">
        <v>10.1393</v>
      </c>
      <c r="AU58" s="36">
        <v>10.9383</v>
      </c>
      <c r="AV58" s="36">
        <v>10.3284</v>
      </c>
      <c r="AW58" s="36"/>
      <c r="AX58" s="36"/>
      <c r="AY58" s="36"/>
      <c r="AZ58" s="36">
        <v>11.4679</v>
      </c>
      <c r="BA58" s="36"/>
      <c r="BB58" s="36"/>
      <c r="BC58" s="37">
        <v>13.14</v>
      </c>
      <c r="BD58" s="35">
        <v>13.3851</v>
      </c>
      <c r="BE58" s="36">
        <v>12.6713</v>
      </c>
      <c r="BF58" s="36">
        <v>13.3278</v>
      </c>
      <c r="BG58" s="36">
        <v>13.708600000000001</v>
      </c>
      <c r="BH58" s="36">
        <v>13.5129</v>
      </c>
      <c r="BI58" s="36">
        <v>14.0055</v>
      </c>
      <c r="BJ58" s="36">
        <v>15.558199999999999</v>
      </c>
      <c r="BK58" s="36">
        <v>17.119700000000002</v>
      </c>
      <c r="BL58" s="36">
        <v>16.1615</v>
      </c>
      <c r="BM58" s="36">
        <v>14.2735</v>
      </c>
      <c r="BN58" s="36">
        <v>14.911199999999999</v>
      </c>
      <c r="BO58" s="37">
        <v>15.5921</v>
      </c>
      <c r="BP58" s="35">
        <v>15.6318</v>
      </c>
      <c r="BQ58" s="36">
        <v>14.7569</v>
      </c>
      <c r="BR58" s="47">
        <v>15.4131</v>
      </c>
      <c r="BS58" s="36">
        <v>14.678900000000001</v>
      </c>
      <c r="BT58" s="36">
        <v>14.052199999999999</v>
      </c>
      <c r="BU58" s="36">
        <v>11.93</v>
      </c>
      <c r="BV58" s="36">
        <v>12.0952</v>
      </c>
      <c r="BW58" s="36">
        <v>11.178100000000001</v>
      </c>
      <c r="BX58" s="36">
        <v>10.9415</v>
      </c>
      <c r="BY58" s="36">
        <v>10.23</v>
      </c>
      <c r="BZ58" s="36">
        <v>12.003</v>
      </c>
      <c r="CA58" s="38">
        <v>11.504300000000001</v>
      </c>
      <c r="CB58" s="48">
        <v>11.4514</v>
      </c>
      <c r="CC58" s="36">
        <v>10.3665</v>
      </c>
      <c r="CD58" s="45">
        <v>10.6572</v>
      </c>
      <c r="CE58" s="45">
        <v>10.090999999999999</v>
      </c>
      <c r="CF58" s="45">
        <f>Table145[[#This Row],[Apr-24]]+0.6078</f>
        <v>10.698799999999999</v>
      </c>
      <c r="CG58" s="36">
        <v>11.582599999999999</v>
      </c>
      <c r="CH58" s="45">
        <v>10.593299999999999</v>
      </c>
      <c r="CI58" s="36">
        <v>10.821</v>
      </c>
      <c r="CJ58" s="36">
        <v>9.9906000000000006</v>
      </c>
      <c r="CK58" s="45">
        <f>Table145[[#This Row],[Sep-24]]+0.1367</f>
        <v>10.1273</v>
      </c>
      <c r="CL58" s="45">
        <v>10.725099999999999</v>
      </c>
      <c r="CM58" s="50">
        <v>10.610799999999999</v>
      </c>
      <c r="CN58" s="49">
        <v>10.495900000000001</v>
      </c>
      <c r="CO58" s="45">
        <v>9.9370999999999992</v>
      </c>
      <c r="CP58" s="45">
        <v>10.4978</v>
      </c>
      <c r="CQ58" s="45"/>
      <c r="CR58" s="45"/>
      <c r="CS58" s="45"/>
      <c r="CT58" s="45"/>
      <c r="CU58" s="45"/>
      <c r="CV58" s="45"/>
      <c r="CW58" s="45"/>
      <c r="CX58" s="45"/>
      <c r="CY58" s="45"/>
    </row>
    <row r="59" spans="1:103" ht="45" customHeight="1">
      <c r="A59" s="39">
        <v>115</v>
      </c>
      <c r="B59" s="40" t="s">
        <v>216</v>
      </c>
      <c r="C59" s="41" t="s">
        <v>217</v>
      </c>
      <c r="D59" s="41" t="s">
        <v>107</v>
      </c>
      <c r="E59" s="41" t="s">
        <v>218</v>
      </c>
      <c r="F59" s="41" t="s">
        <v>125</v>
      </c>
      <c r="G59" s="42" t="s">
        <v>110</v>
      </c>
      <c r="H59" s="35"/>
      <c r="I59" s="36"/>
      <c r="J59" s="36"/>
      <c r="K59" s="36"/>
      <c r="L59" s="36"/>
      <c r="M59" s="36"/>
      <c r="N59" s="36"/>
      <c r="O59" s="36"/>
      <c r="P59" s="36"/>
      <c r="Q59" s="36"/>
      <c r="R59" s="36"/>
      <c r="S59" s="37"/>
      <c r="T59" s="35"/>
      <c r="U59" s="36"/>
      <c r="V59" s="36"/>
      <c r="W59" s="36"/>
      <c r="X59" s="36"/>
      <c r="Y59" s="36"/>
      <c r="Z59" s="36"/>
      <c r="AA59" s="36"/>
      <c r="AB59" s="36"/>
      <c r="AC59" s="36"/>
      <c r="AD59" s="36"/>
      <c r="AE59" s="37"/>
      <c r="AF59" s="35"/>
      <c r="AG59" s="36"/>
      <c r="AH59" s="36"/>
      <c r="AI59" s="36"/>
      <c r="AJ59" s="36"/>
      <c r="AK59" s="36"/>
      <c r="AL59" s="36"/>
      <c r="AM59" s="36"/>
      <c r="AN59" s="36"/>
      <c r="AO59" s="36"/>
      <c r="AP59" s="36"/>
      <c r="AQ59" s="37"/>
      <c r="AR59" s="35"/>
      <c r="AS59" s="36"/>
      <c r="AT59" s="36"/>
      <c r="AU59" s="36"/>
      <c r="AV59" s="36"/>
      <c r="AW59" s="36"/>
      <c r="AX59" s="36"/>
      <c r="AY59" s="36"/>
      <c r="AZ59" s="36"/>
      <c r="BA59" s="36"/>
      <c r="BB59" s="36"/>
      <c r="BC59" s="37"/>
      <c r="BD59" s="35"/>
      <c r="BE59" s="36"/>
      <c r="BF59" s="36"/>
      <c r="BG59" s="36"/>
      <c r="BH59" s="36"/>
      <c r="BI59" s="36"/>
      <c r="BJ59" s="36"/>
      <c r="BK59" s="36">
        <v>17.089400000000001</v>
      </c>
      <c r="BL59" s="36">
        <v>17.037400000000002</v>
      </c>
      <c r="BM59" s="36">
        <v>16.502600000000001</v>
      </c>
      <c r="BN59" s="36"/>
      <c r="BO59" s="37"/>
      <c r="BP59" s="35"/>
      <c r="BQ59" s="36">
        <v>15.7384</v>
      </c>
      <c r="BR59" s="36">
        <v>15.381</v>
      </c>
      <c r="BS59" s="36">
        <v>15.120100000000001</v>
      </c>
      <c r="BT59" s="36">
        <v>14.2834</v>
      </c>
      <c r="BU59" s="36">
        <v>14.0379</v>
      </c>
      <c r="BV59" s="36">
        <v>13.484400000000001</v>
      </c>
      <c r="BW59" s="36">
        <v>9.8214000000000006</v>
      </c>
      <c r="BX59" s="36">
        <v>13.0205</v>
      </c>
      <c r="BY59" s="36">
        <v>12.940099999999999</v>
      </c>
      <c r="BZ59" s="36">
        <v>13.282400000000001</v>
      </c>
      <c r="CA59" s="38">
        <v>12.9848</v>
      </c>
      <c r="CB59" s="52">
        <v>12.4267</v>
      </c>
      <c r="CC59" s="36">
        <v>12.139200000000001</v>
      </c>
      <c r="CD59" s="36">
        <v>12.4796</v>
      </c>
      <c r="CE59" s="36">
        <v>12.2407</v>
      </c>
      <c r="CF59" s="36">
        <v>12.235200000000001</v>
      </c>
      <c r="CG59" s="36">
        <v>11.354799999999999</v>
      </c>
      <c r="CH59" s="36">
        <v>12.366400000000001</v>
      </c>
      <c r="CI59" s="45">
        <v>12.8781</v>
      </c>
      <c r="CJ59" s="36">
        <v>12.0085</v>
      </c>
      <c r="CK59" s="36">
        <v>11.831200000000001</v>
      </c>
      <c r="CL59" s="36">
        <v>13.029</v>
      </c>
      <c r="CM59" s="38"/>
      <c r="CN59" s="36"/>
      <c r="CO59" s="36"/>
      <c r="CP59" s="36"/>
      <c r="CQ59" s="36"/>
      <c r="CR59" s="36"/>
      <c r="CS59" s="36"/>
      <c r="CT59" s="36"/>
      <c r="CU59" s="36"/>
      <c r="CV59" s="36"/>
      <c r="CW59" s="36"/>
      <c r="CX59" s="36"/>
      <c r="CY59" s="36"/>
    </row>
    <row r="60" spans="1:103" s="68" customFormat="1" ht="45" customHeight="1">
      <c r="A60" s="39">
        <v>62</v>
      </c>
      <c r="B60" s="40" t="s">
        <v>219</v>
      </c>
      <c r="C60" s="41" t="s">
        <v>220</v>
      </c>
      <c r="D60" s="41" t="s">
        <v>107</v>
      </c>
      <c r="E60" s="41" t="s">
        <v>218</v>
      </c>
      <c r="F60" s="41" t="s">
        <v>125</v>
      </c>
      <c r="G60" s="42" t="s">
        <v>110</v>
      </c>
      <c r="H60" s="35">
        <v>9.5563000000000002</v>
      </c>
      <c r="I60" s="36">
        <v>9.2702000000000009</v>
      </c>
      <c r="J60" s="36">
        <v>8.9130000000000003</v>
      </c>
      <c r="K60" s="36">
        <v>9.4411000000000005</v>
      </c>
      <c r="L60" s="36">
        <v>9.7213999999999992</v>
      </c>
      <c r="M60" s="36">
        <v>9.5943000000000005</v>
      </c>
      <c r="N60" s="36">
        <v>9.7859999999999996</v>
      </c>
      <c r="O60" s="36">
        <v>9.9562000000000008</v>
      </c>
      <c r="P60" s="36">
        <v>9.6678999999999995</v>
      </c>
      <c r="Q60" s="36">
        <v>9.7543000000000006</v>
      </c>
      <c r="R60" s="36">
        <v>9.6864000000000008</v>
      </c>
      <c r="S60" s="37">
        <v>9.7416999999999998</v>
      </c>
      <c r="T60" s="35">
        <v>9.5442999999999998</v>
      </c>
      <c r="U60" s="36">
        <v>9.5843000000000007</v>
      </c>
      <c r="V60" s="36">
        <v>9.5695999999999994</v>
      </c>
      <c r="W60" s="36">
        <v>9.5399999999999991</v>
      </c>
      <c r="X60" s="36">
        <v>9.5380000000000003</v>
      </c>
      <c r="Y60" s="36">
        <v>9.5619999999999994</v>
      </c>
      <c r="Z60" s="36">
        <v>9.0812000000000008</v>
      </c>
      <c r="AA60" s="36">
        <v>8.8347999999999995</v>
      </c>
      <c r="AB60" s="36">
        <v>9.1357999999999997</v>
      </c>
      <c r="AC60" s="36">
        <v>9.1856000000000009</v>
      </c>
      <c r="AD60" s="36">
        <v>9.3942999999999994</v>
      </c>
      <c r="AE60" s="37">
        <v>9.4681999999999995</v>
      </c>
      <c r="AF60" s="35">
        <v>9.3706999999999994</v>
      </c>
      <c r="AG60" s="36">
        <v>9.6456999999999997</v>
      </c>
      <c r="AH60" s="36">
        <v>9.5656999999999996</v>
      </c>
      <c r="AI60" s="36">
        <v>9.5640000000000001</v>
      </c>
      <c r="AJ60" s="36">
        <v>9.3714999999999993</v>
      </c>
      <c r="AK60" s="36">
        <v>9.8164999999999996</v>
      </c>
      <c r="AL60" s="36">
        <v>9.6964000000000006</v>
      </c>
      <c r="AM60" s="36">
        <v>9.9802</v>
      </c>
      <c r="AN60" s="36">
        <v>10.159599999999999</v>
      </c>
      <c r="AO60" s="36">
        <v>10.157299999999999</v>
      </c>
      <c r="AP60" s="36">
        <v>10.600199999999999</v>
      </c>
      <c r="AQ60" s="37">
        <v>9.9474</v>
      </c>
      <c r="AR60" s="35">
        <v>9.8048999999999999</v>
      </c>
      <c r="AS60" s="36">
        <v>9.6450999999999993</v>
      </c>
      <c r="AT60" s="36">
        <v>9.6399000000000008</v>
      </c>
      <c r="AU60" s="36">
        <v>9.6471999999999998</v>
      </c>
      <c r="AV60" s="36">
        <v>9.9315999999999995</v>
      </c>
      <c r="AW60" s="36">
        <v>9.6012000000000004</v>
      </c>
      <c r="AX60" s="36">
        <v>9.8475999999999999</v>
      </c>
      <c r="AY60" s="36">
        <v>10.623799999999999</v>
      </c>
      <c r="AZ60" s="36">
        <v>10.445399999999999</v>
      </c>
      <c r="BA60" s="36">
        <v>10.9077</v>
      </c>
      <c r="BB60" s="36">
        <v>11.5815</v>
      </c>
      <c r="BC60" s="37">
        <v>11.983499999999999</v>
      </c>
      <c r="BD60" s="35">
        <v>12.4869</v>
      </c>
      <c r="BE60" s="36">
        <v>11.622999999999999</v>
      </c>
      <c r="BF60" s="36">
        <v>12.2219</v>
      </c>
      <c r="BG60" s="36">
        <v>12.332000000000001</v>
      </c>
      <c r="BH60" s="36">
        <v>12.417299999999999</v>
      </c>
      <c r="BI60" s="36">
        <v>12.884499999999999</v>
      </c>
      <c r="BJ60" s="36">
        <v>14.4087</v>
      </c>
      <c r="BK60" s="36">
        <v>15.6676</v>
      </c>
      <c r="BL60" s="36">
        <v>14.4497</v>
      </c>
      <c r="BM60" s="36">
        <v>12.930300000000001</v>
      </c>
      <c r="BN60" s="36">
        <v>14.0824</v>
      </c>
      <c r="BO60" s="37">
        <v>14.035299999999999</v>
      </c>
      <c r="BP60" s="35">
        <v>13.8756</v>
      </c>
      <c r="BQ60" s="36">
        <v>14.315200000000001</v>
      </c>
      <c r="BR60" s="47">
        <v>13.170500000000001</v>
      </c>
      <c r="BS60" s="36">
        <v>10.215299999999999</v>
      </c>
      <c r="BT60" s="36">
        <v>10.1747</v>
      </c>
      <c r="BU60" s="36">
        <f>13.2067-1.1447-0.0243-0.0056</f>
        <v>12.0321</v>
      </c>
      <c r="BV60" s="36">
        <v>12.410399999999999</v>
      </c>
      <c r="BW60" s="36">
        <v>12.28233</v>
      </c>
      <c r="BX60" s="36">
        <v>11.2029</v>
      </c>
      <c r="BY60" s="36">
        <v>8.0803999999999991</v>
      </c>
      <c r="BZ60" s="36">
        <v>10.8507</v>
      </c>
      <c r="CA60" s="38">
        <v>10.446400000000001</v>
      </c>
      <c r="CB60" s="52">
        <v>11.015499999999999</v>
      </c>
      <c r="CC60" s="45">
        <v>11.297499999999999</v>
      </c>
      <c r="CD60" s="45">
        <v>11.2346</v>
      </c>
      <c r="CE60" s="36">
        <v>11.235099999999999</v>
      </c>
      <c r="CF60" s="45">
        <v>11.2455</v>
      </c>
      <c r="CG60" s="36">
        <v>10.8896</v>
      </c>
      <c r="CH60" s="36">
        <v>11.6038</v>
      </c>
      <c r="CI60" s="36">
        <v>11.6363</v>
      </c>
      <c r="CJ60" s="36">
        <v>10.6829</v>
      </c>
      <c r="CK60" s="45">
        <v>10.6503</v>
      </c>
      <c r="CL60" s="45">
        <v>11.188700000000001</v>
      </c>
      <c r="CM60" s="50">
        <v>10.868499999999999</v>
      </c>
      <c r="CN60" s="71">
        <v>10.8285</v>
      </c>
      <c r="CO60" s="71">
        <v>10.613200000000001</v>
      </c>
      <c r="CP60" s="71">
        <v>10.6037</v>
      </c>
      <c r="CQ60" s="71"/>
      <c r="CR60" s="71"/>
      <c r="CS60" s="71"/>
      <c r="CT60" s="71"/>
      <c r="CU60" s="71"/>
      <c r="CV60" s="71"/>
      <c r="CW60" s="71"/>
      <c r="CX60" s="71"/>
      <c r="CY60" s="71"/>
    </row>
    <row r="61" spans="1:103" ht="45" customHeight="1">
      <c r="A61" s="39">
        <v>92</v>
      </c>
      <c r="B61" s="40" t="s">
        <v>221</v>
      </c>
      <c r="C61" s="41" t="s">
        <v>222</v>
      </c>
      <c r="D61" s="41" t="s">
        <v>107</v>
      </c>
      <c r="E61" s="41" t="s">
        <v>203</v>
      </c>
      <c r="F61" s="41" t="s">
        <v>109</v>
      </c>
      <c r="G61" s="42" t="s">
        <v>114</v>
      </c>
      <c r="H61" s="35"/>
      <c r="I61" s="36"/>
      <c r="J61" s="36"/>
      <c r="K61" s="36"/>
      <c r="L61" s="36"/>
      <c r="M61" s="36"/>
      <c r="N61" s="36"/>
      <c r="O61" s="36"/>
      <c r="P61" s="36"/>
      <c r="Q61" s="36"/>
      <c r="R61" s="36"/>
      <c r="S61" s="37"/>
      <c r="T61" s="35"/>
      <c r="U61" s="36"/>
      <c r="V61" s="36"/>
      <c r="W61" s="36"/>
      <c r="X61" s="36"/>
      <c r="Y61" s="36"/>
      <c r="Z61" s="36"/>
      <c r="AA61" s="36"/>
      <c r="AB61" s="36"/>
      <c r="AC61" s="36"/>
      <c r="AD61" s="36"/>
      <c r="AE61" s="37"/>
      <c r="AF61" s="35"/>
      <c r="AG61" s="36"/>
      <c r="AH61" s="36"/>
      <c r="AI61" s="36"/>
      <c r="AJ61" s="36"/>
      <c r="AK61" s="36"/>
      <c r="AL61" s="36"/>
      <c r="AM61" s="36"/>
      <c r="AN61" s="36"/>
      <c r="AO61" s="36"/>
      <c r="AP61" s="36"/>
      <c r="AQ61" s="37"/>
      <c r="AR61" s="35"/>
      <c r="AS61" s="36"/>
      <c r="AT61" s="36"/>
      <c r="AU61" s="36"/>
      <c r="AV61" s="36"/>
      <c r="AW61" s="36"/>
      <c r="AX61" s="36"/>
      <c r="AY61" s="36"/>
      <c r="AZ61" s="36"/>
      <c r="BA61" s="36"/>
      <c r="BB61" s="36"/>
      <c r="BC61" s="37"/>
      <c r="BD61" s="35"/>
      <c r="BE61" s="36"/>
      <c r="BF61" s="36"/>
      <c r="BG61" s="36"/>
      <c r="BH61" s="36"/>
      <c r="BI61" s="36"/>
      <c r="BJ61" s="36">
        <v>14.06</v>
      </c>
      <c r="BK61" s="36">
        <v>13.948700000000001</v>
      </c>
      <c r="BL61" s="36">
        <v>13.3474</v>
      </c>
      <c r="BM61" s="36">
        <v>14.368</v>
      </c>
      <c r="BN61" s="36">
        <v>14.404400000000001</v>
      </c>
      <c r="BO61" s="37"/>
      <c r="BP61" s="35">
        <v>10.8887</v>
      </c>
      <c r="BQ61" s="36">
        <v>10.3789</v>
      </c>
      <c r="BR61" s="36">
        <v>10.619300000000001</v>
      </c>
      <c r="BS61" s="36">
        <v>9.7415000000000003</v>
      </c>
      <c r="BT61" s="36">
        <v>11.450699999999999</v>
      </c>
      <c r="BU61" s="36">
        <v>11.3865</v>
      </c>
      <c r="BV61" s="36">
        <v>10.5909</v>
      </c>
      <c r="BW61" s="36">
        <v>10.3</v>
      </c>
      <c r="BX61" s="36">
        <v>10.4472</v>
      </c>
      <c r="BY61" s="36">
        <v>9.7984000000000009</v>
      </c>
      <c r="BZ61" s="36">
        <v>10.2621</v>
      </c>
      <c r="CA61" s="38">
        <v>9.3491999999999997</v>
      </c>
      <c r="CB61" s="48">
        <v>9.5</v>
      </c>
      <c r="CC61" s="45">
        <v>9.4969999999999999</v>
      </c>
      <c r="CD61" s="51">
        <v>10.2706</v>
      </c>
      <c r="CE61" s="45">
        <v>9.9981000000000009</v>
      </c>
      <c r="CF61" s="45">
        <v>10.5954</v>
      </c>
      <c r="CG61" s="45">
        <v>8.8714999999999993</v>
      </c>
      <c r="CH61" s="45">
        <v>11.060499999999999</v>
      </c>
      <c r="CI61" s="49">
        <v>11.155200000000001</v>
      </c>
      <c r="CJ61" s="49">
        <v>11.2944</v>
      </c>
      <c r="CK61" s="45">
        <v>9.7243999999999993</v>
      </c>
      <c r="CL61" s="44">
        <v>9.9341000000000008</v>
      </c>
      <c r="CM61" s="50"/>
      <c r="CN61" s="36">
        <v>9.4205000000000005</v>
      </c>
      <c r="CO61" s="45">
        <v>9.2637</v>
      </c>
      <c r="CP61" s="45">
        <v>9.4811999999999994</v>
      </c>
      <c r="CQ61" s="45"/>
      <c r="CR61" s="45"/>
      <c r="CS61" s="45"/>
      <c r="CT61" s="45"/>
      <c r="CU61" s="45"/>
      <c r="CV61" s="45"/>
      <c r="CW61" s="45"/>
      <c r="CX61" s="45"/>
      <c r="CY61" s="45"/>
    </row>
    <row r="62" spans="1:103" ht="45" customHeight="1">
      <c r="A62" s="39">
        <v>117</v>
      </c>
      <c r="B62" s="40" t="s">
        <v>223</v>
      </c>
      <c r="C62" s="41" t="s">
        <v>224</v>
      </c>
      <c r="D62" s="41" t="s">
        <v>107</v>
      </c>
      <c r="E62" s="41" t="s">
        <v>124</v>
      </c>
      <c r="F62" s="41" t="s">
        <v>125</v>
      </c>
      <c r="G62" s="42" t="s">
        <v>110</v>
      </c>
      <c r="H62" s="35"/>
      <c r="I62" s="36"/>
      <c r="J62" s="36"/>
      <c r="K62" s="36"/>
      <c r="L62" s="36"/>
      <c r="M62" s="36"/>
      <c r="N62" s="36"/>
      <c r="O62" s="36"/>
      <c r="P62" s="36"/>
      <c r="Q62" s="36"/>
      <c r="R62" s="36"/>
      <c r="S62" s="37"/>
      <c r="T62" s="35"/>
      <c r="U62" s="36"/>
      <c r="V62" s="36"/>
      <c r="W62" s="36"/>
      <c r="X62" s="36"/>
      <c r="Y62" s="36"/>
      <c r="Z62" s="36"/>
      <c r="AA62" s="36"/>
      <c r="AB62" s="36"/>
      <c r="AC62" s="36"/>
      <c r="AD62" s="36"/>
      <c r="AE62" s="37"/>
      <c r="AF62" s="35"/>
      <c r="AG62" s="36"/>
      <c r="AH62" s="36"/>
      <c r="AI62" s="36"/>
      <c r="AJ62" s="36"/>
      <c r="AK62" s="36"/>
      <c r="AL62" s="36"/>
      <c r="AM62" s="36"/>
      <c r="AN62" s="36"/>
      <c r="AO62" s="36"/>
      <c r="AP62" s="36"/>
      <c r="AQ62" s="37"/>
      <c r="AR62" s="35"/>
      <c r="AS62" s="36"/>
      <c r="AT62" s="36"/>
      <c r="AU62" s="36"/>
      <c r="AV62" s="36"/>
      <c r="AW62" s="36"/>
      <c r="AX62" s="36"/>
      <c r="AY62" s="36"/>
      <c r="AZ62" s="36"/>
      <c r="BA62" s="36"/>
      <c r="BB62" s="36"/>
      <c r="BC62" s="37"/>
      <c r="BD62" s="35"/>
      <c r="BE62" s="36"/>
      <c r="BF62" s="36"/>
      <c r="BG62" s="36">
        <v>8.1722000000000001</v>
      </c>
      <c r="BH62" s="36">
        <v>8.1776</v>
      </c>
      <c r="BI62" s="36">
        <v>8.1608000000000001</v>
      </c>
      <c r="BJ62" s="36">
        <v>8.1561000000000003</v>
      </c>
      <c r="BK62" s="36">
        <v>8.1789000000000005</v>
      </c>
      <c r="BL62" s="36">
        <v>8.1765000000000008</v>
      </c>
      <c r="BM62" s="36">
        <v>8.1761999999999997</v>
      </c>
      <c r="BN62" s="36">
        <v>8.1667000000000005</v>
      </c>
      <c r="BO62" s="37"/>
      <c r="BP62" s="35">
        <v>7.9122000000000012</v>
      </c>
      <c r="BQ62" s="36">
        <v>7.9010000000000007</v>
      </c>
      <c r="BR62" s="36">
        <v>8.1757000000000009</v>
      </c>
      <c r="BS62" s="36">
        <v>8.9590999999999994</v>
      </c>
      <c r="BT62" s="36">
        <v>8.9581999999999997</v>
      </c>
      <c r="BU62" s="36">
        <v>8.9581999999999997</v>
      </c>
      <c r="BV62" s="36">
        <v>9.0165999999999986</v>
      </c>
      <c r="BW62" s="36">
        <v>9.004999999999999</v>
      </c>
      <c r="BX62" s="47">
        <v>9.0084</v>
      </c>
      <c r="BY62" s="36">
        <v>9.0356999999999985</v>
      </c>
      <c r="BZ62" s="36">
        <v>9.0313999999999979</v>
      </c>
      <c r="CA62" s="38">
        <v>9.0298999999999996</v>
      </c>
      <c r="CB62" s="35">
        <v>8.2707650000000008</v>
      </c>
      <c r="CC62" s="36"/>
      <c r="CD62" s="36"/>
      <c r="CE62" s="36"/>
      <c r="CF62" s="36"/>
      <c r="CG62" s="36"/>
      <c r="CH62" s="36"/>
      <c r="CI62" s="36"/>
      <c r="CJ62" s="36"/>
      <c r="CK62" s="36"/>
      <c r="CL62" s="36"/>
      <c r="CM62" s="38"/>
      <c r="CN62" s="70"/>
      <c r="CO62" s="70"/>
      <c r="CP62" s="70"/>
      <c r="CQ62" s="70"/>
      <c r="CR62" s="70"/>
      <c r="CS62" s="70"/>
      <c r="CT62" s="70"/>
      <c r="CU62" s="70"/>
      <c r="CV62" s="70"/>
      <c r="CW62" s="70"/>
      <c r="CX62" s="70"/>
      <c r="CY62" s="70"/>
    </row>
    <row r="63" spans="1:103" ht="45" customHeight="1">
      <c r="A63" s="39">
        <v>86</v>
      </c>
      <c r="B63" s="40" t="s">
        <v>225</v>
      </c>
      <c r="C63" s="41" t="s">
        <v>226</v>
      </c>
      <c r="D63" s="41" t="s">
        <v>107</v>
      </c>
      <c r="E63" s="41" t="s">
        <v>218</v>
      </c>
      <c r="F63" s="41" t="s">
        <v>125</v>
      </c>
      <c r="G63" s="42" t="s">
        <v>114</v>
      </c>
      <c r="H63" s="35">
        <v>9.34</v>
      </c>
      <c r="I63" s="36">
        <v>9.3568999999999996</v>
      </c>
      <c r="J63" s="36">
        <v>8.9029000000000007</v>
      </c>
      <c r="K63" s="36">
        <v>9.7022999999999993</v>
      </c>
      <c r="L63" s="36">
        <v>10.092700000000001</v>
      </c>
      <c r="M63" s="36">
        <v>9.5731000000000002</v>
      </c>
      <c r="N63" s="36">
        <v>9.9200999999999997</v>
      </c>
      <c r="O63" s="36">
        <v>10.1228</v>
      </c>
      <c r="P63" s="36">
        <v>9.9390999999999998</v>
      </c>
      <c r="Q63" s="36">
        <v>10.0619</v>
      </c>
      <c r="R63" s="36">
        <v>9.9519000000000002</v>
      </c>
      <c r="S63" s="37">
        <v>9.7666000000000004</v>
      </c>
      <c r="T63" s="35">
        <v>9.1175999999999995</v>
      </c>
      <c r="U63" s="36">
        <v>9.2500999999999998</v>
      </c>
      <c r="V63" s="36">
        <v>9.2599</v>
      </c>
      <c r="W63" s="36">
        <v>9.6168999999999993</v>
      </c>
      <c r="X63" s="36">
        <v>9.5043000000000006</v>
      </c>
      <c r="Y63" s="36">
        <v>9.6968999999999994</v>
      </c>
      <c r="Z63" s="36">
        <v>9.5838999999999999</v>
      </c>
      <c r="AA63" s="36">
        <v>8.8910999999999998</v>
      </c>
      <c r="AB63" s="36">
        <v>8.8961000000000006</v>
      </c>
      <c r="AC63" s="36">
        <v>8.7521000000000004</v>
      </c>
      <c r="AD63" s="36">
        <v>8.8292999999999999</v>
      </c>
      <c r="AE63" s="37">
        <v>8.8142999999999994</v>
      </c>
      <c r="AF63" s="35">
        <v>8.6748999999999992</v>
      </c>
      <c r="AG63" s="36">
        <v>8.6110000000000007</v>
      </c>
      <c r="AH63" s="36">
        <v>8.8658999999999999</v>
      </c>
      <c r="AI63" s="36">
        <v>9.1121999999999996</v>
      </c>
      <c r="AJ63" s="36">
        <v>8.8720999999999997</v>
      </c>
      <c r="AK63" s="36">
        <v>9.3710000000000004</v>
      </c>
      <c r="AL63" s="36">
        <v>8.8059999999999992</v>
      </c>
      <c r="AM63" s="36">
        <v>9.0542999999999996</v>
      </c>
      <c r="AN63" s="36">
        <v>9.0928000000000004</v>
      </c>
      <c r="AO63" s="36">
        <v>8.7660999999999998</v>
      </c>
      <c r="AP63" s="36">
        <v>8.9535</v>
      </c>
      <c r="AQ63" s="37">
        <v>8.7463999999999995</v>
      </c>
      <c r="AR63" s="35">
        <v>8.8483999999999998</v>
      </c>
      <c r="AS63" s="36">
        <v>8.7406000000000006</v>
      </c>
      <c r="AT63" s="36">
        <v>9.0061</v>
      </c>
      <c r="AU63" s="36">
        <v>8.9877000000000002</v>
      </c>
      <c r="AV63" s="36">
        <v>8.8998000000000008</v>
      </c>
      <c r="AW63" s="36">
        <v>8.9161999999999999</v>
      </c>
      <c r="AX63" s="36">
        <v>8.9675999999999991</v>
      </c>
      <c r="AY63" s="36">
        <v>9.1260999999999992</v>
      </c>
      <c r="AZ63" s="36">
        <v>9.1013999999999999</v>
      </c>
      <c r="BA63" s="36">
        <v>9.3689</v>
      </c>
      <c r="BB63" s="36">
        <v>9.5850000000000009</v>
      </c>
      <c r="BC63" s="37">
        <v>10.2067</v>
      </c>
      <c r="BD63" s="35">
        <v>10.1656</v>
      </c>
      <c r="BE63" s="36">
        <v>9.7936999999999994</v>
      </c>
      <c r="BF63" s="36">
        <v>10.317399999999999</v>
      </c>
      <c r="BG63" s="36">
        <v>10.5558</v>
      </c>
      <c r="BH63" s="36">
        <v>10.5464</v>
      </c>
      <c r="BI63" s="36">
        <v>11.108599999999999</v>
      </c>
      <c r="BJ63" s="36">
        <v>11.635400000000001</v>
      </c>
      <c r="BK63" s="36">
        <v>13.2883</v>
      </c>
      <c r="BL63" s="36">
        <v>13.0101</v>
      </c>
      <c r="BM63" s="36">
        <v>10.8028</v>
      </c>
      <c r="BN63" s="36">
        <v>11.3538</v>
      </c>
      <c r="BO63" s="37">
        <v>12.6351</v>
      </c>
      <c r="BP63" s="35">
        <v>12.4466</v>
      </c>
      <c r="BQ63" s="36">
        <v>11.5169</v>
      </c>
      <c r="BR63" s="47">
        <v>11.1389</v>
      </c>
      <c r="BS63" s="36">
        <v>11.5276</v>
      </c>
      <c r="BT63" s="36">
        <v>10.5322</v>
      </c>
      <c r="BU63" s="36">
        <v>10.2393</v>
      </c>
      <c r="BV63" s="36">
        <v>8.7490000000000006</v>
      </c>
      <c r="BW63" s="36">
        <v>5.6817000000000002</v>
      </c>
      <c r="BX63" s="36">
        <v>9.4525000000000006</v>
      </c>
      <c r="BY63" s="36">
        <v>9.2100000000000009</v>
      </c>
      <c r="BZ63" s="36">
        <v>9.1199999999999992</v>
      </c>
      <c r="CA63" s="38">
        <v>8.7383000000000006</v>
      </c>
      <c r="CB63" s="52">
        <v>8.8156999999999996</v>
      </c>
      <c r="CC63" s="44">
        <v>9.2569999999999997</v>
      </c>
      <c r="CD63" s="45">
        <v>8.9975000000000005</v>
      </c>
      <c r="CE63" s="45">
        <v>9.1354000000000006</v>
      </c>
      <c r="CF63" s="44">
        <v>10.7608</v>
      </c>
      <c r="CG63" s="44">
        <v>7.9371999999999998</v>
      </c>
      <c r="CH63" s="45">
        <v>10.8973</v>
      </c>
      <c r="CI63" s="44">
        <v>10.6281</v>
      </c>
      <c r="CJ63" s="44">
        <v>9.48</v>
      </c>
      <c r="CK63" s="44">
        <v>8.4499999999999993</v>
      </c>
      <c r="CL63" s="44">
        <v>9.11</v>
      </c>
      <c r="CM63" s="46">
        <v>9.2100000000000009</v>
      </c>
      <c r="CN63" s="44">
        <v>8.99</v>
      </c>
      <c r="CO63" s="44">
        <v>8.4</v>
      </c>
      <c r="CP63" s="44">
        <v>8.6021999999999998</v>
      </c>
      <c r="CQ63" s="44">
        <v>9.5513999999999992</v>
      </c>
      <c r="CR63" s="44"/>
      <c r="CS63" s="44"/>
      <c r="CT63" s="44"/>
      <c r="CU63" s="44"/>
      <c r="CV63" s="44"/>
      <c r="CW63" s="44"/>
      <c r="CX63" s="44"/>
      <c r="CY63" s="44"/>
    </row>
    <row r="64" spans="1:103" ht="45" customHeight="1">
      <c r="A64" s="39">
        <v>116</v>
      </c>
      <c r="B64" s="40" t="s">
        <v>227</v>
      </c>
      <c r="C64" s="41" t="s">
        <v>228</v>
      </c>
      <c r="D64" s="41" t="s">
        <v>107</v>
      </c>
      <c r="E64" s="41" t="s">
        <v>218</v>
      </c>
      <c r="F64" s="41" t="s">
        <v>125</v>
      </c>
      <c r="G64" s="42" t="s">
        <v>110</v>
      </c>
      <c r="H64" s="35"/>
      <c r="I64" s="36"/>
      <c r="J64" s="36"/>
      <c r="K64" s="36"/>
      <c r="L64" s="36"/>
      <c r="M64" s="36"/>
      <c r="N64" s="36"/>
      <c r="O64" s="36"/>
      <c r="P64" s="36"/>
      <c r="Q64" s="36"/>
      <c r="R64" s="36"/>
      <c r="S64" s="37"/>
      <c r="T64" s="35"/>
      <c r="U64" s="36"/>
      <c r="V64" s="36"/>
      <c r="W64" s="36"/>
      <c r="X64" s="36"/>
      <c r="Y64" s="36"/>
      <c r="Z64" s="36"/>
      <c r="AA64" s="36"/>
      <c r="AB64" s="36"/>
      <c r="AC64" s="36"/>
      <c r="AD64" s="36"/>
      <c r="AE64" s="37"/>
      <c r="AF64" s="35"/>
      <c r="AG64" s="36"/>
      <c r="AH64" s="36"/>
      <c r="AI64" s="36"/>
      <c r="AJ64" s="36"/>
      <c r="AK64" s="36"/>
      <c r="AL64" s="36"/>
      <c r="AM64" s="36"/>
      <c r="AN64" s="36"/>
      <c r="AO64" s="36"/>
      <c r="AP64" s="36"/>
      <c r="AQ64" s="37"/>
      <c r="AR64" s="35"/>
      <c r="AS64" s="36"/>
      <c r="AT64" s="36"/>
      <c r="AU64" s="36"/>
      <c r="AV64" s="36"/>
      <c r="AW64" s="36"/>
      <c r="AX64" s="36"/>
      <c r="AY64" s="36"/>
      <c r="AZ64" s="36"/>
      <c r="BA64" s="36"/>
      <c r="BB64" s="36"/>
      <c r="BC64" s="37"/>
      <c r="BD64" s="35">
        <v>11.189500000000001</v>
      </c>
      <c r="BE64" s="36"/>
      <c r="BF64" s="36"/>
      <c r="BG64" s="36"/>
      <c r="BH64" s="36"/>
      <c r="BI64" s="36">
        <v>11.637</v>
      </c>
      <c r="BJ64" s="36">
        <v>12.8628</v>
      </c>
      <c r="BK64" s="36">
        <v>14.791399999999999</v>
      </c>
      <c r="BL64" s="36">
        <v>14.6107</v>
      </c>
      <c r="BM64" s="36">
        <v>12.9222</v>
      </c>
      <c r="BN64" s="36">
        <v>13.425599999999999</v>
      </c>
      <c r="BO64" s="37">
        <v>13.536899999999999</v>
      </c>
      <c r="BP64" s="35">
        <v>13.2331</v>
      </c>
      <c r="BQ64" s="36">
        <v>13.256600000000001</v>
      </c>
      <c r="BR64" s="36">
        <v>14.6242</v>
      </c>
      <c r="BS64" s="36">
        <v>14.552300000000001</v>
      </c>
      <c r="BT64" s="36">
        <v>14.283799999999999</v>
      </c>
      <c r="BU64" s="36">
        <v>13.766299999999999</v>
      </c>
      <c r="BV64" s="36">
        <v>12.560700000000001</v>
      </c>
      <c r="BW64" s="36">
        <v>12.484</v>
      </c>
      <c r="BX64" s="36">
        <v>12.209199999999999</v>
      </c>
      <c r="BY64" s="36">
        <v>11.74433</v>
      </c>
      <c r="BZ64" s="36">
        <v>12.44</v>
      </c>
      <c r="CA64" s="38">
        <v>12.0358</v>
      </c>
      <c r="CB64" s="52">
        <v>12.215299999999999</v>
      </c>
      <c r="CC64" s="51">
        <v>12.857799999999999</v>
      </c>
      <c r="CD64" s="45">
        <v>12.0326</v>
      </c>
      <c r="CE64" s="36">
        <v>11.3287</v>
      </c>
      <c r="CF64" s="36">
        <v>11.4359</v>
      </c>
      <c r="CG64" s="36">
        <v>10.5448</v>
      </c>
      <c r="CH64" s="36">
        <v>11.313499999999999</v>
      </c>
      <c r="CI64" s="36">
        <v>10.186500000000001</v>
      </c>
      <c r="CJ64" s="36">
        <v>10.7875</v>
      </c>
      <c r="CK64" s="36">
        <v>10.7744</v>
      </c>
      <c r="CL64" s="36">
        <v>11.232900000000001</v>
      </c>
      <c r="CM64" s="38">
        <v>11.667</v>
      </c>
      <c r="CN64" s="54">
        <v>11.4869</v>
      </c>
      <c r="CO64" s="54">
        <v>8.4</v>
      </c>
      <c r="CP64" s="54">
        <v>11.080399999999999</v>
      </c>
      <c r="CQ64" s="54"/>
      <c r="CR64" s="54"/>
      <c r="CS64" s="54"/>
      <c r="CT64" s="54"/>
      <c r="CU64" s="54"/>
      <c r="CV64" s="54"/>
      <c r="CW64" s="54"/>
      <c r="CX64" s="54"/>
      <c r="CY64" s="54"/>
    </row>
    <row r="65" spans="1:103" ht="45" customHeight="1">
      <c r="A65" s="39">
        <v>19</v>
      </c>
      <c r="B65" s="40" t="s">
        <v>229</v>
      </c>
      <c r="C65" s="41" t="s">
        <v>230</v>
      </c>
      <c r="D65" s="41" t="s">
        <v>107</v>
      </c>
      <c r="E65" s="41" t="s">
        <v>154</v>
      </c>
      <c r="F65" s="41" t="s">
        <v>118</v>
      </c>
      <c r="G65" s="42" t="s">
        <v>110</v>
      </c>
      <c r="H65" s="35"/>
      <c r="I65" s="36"/>
      <c r="J65" s="36"/>
      <c r="K65" s="36"/>
      <c r="L65" s="36"/>
      <c r="M65" s="36"/>
      <c r="N65" s="36"/>
      <c r="O65" s="36"/>
      <c r="P65" s="36"/>
      <c r="Q65" s="36"/>
      <c r="R65" s="36"/>
      <c r="S65" s="37"/>
      <c r="T65" s="35"/>
      <c r="U65" s="36"/>
      <c r="V65" s="36"/>
      <c r="W65" s="36"/>
      <c r="X65" s="36"/>
      <c r="Y65" s="36"/>
      <c r="Z65" s="36"/>
      <c r="AA65" s="36"/>
      <c r="AB65" s="36"/>
      <c r="AC65" s="36"/>
      <c r="AD65" s="36"/>
      <c r="AE65" s="37"/>
      <c r="AF65" s="35"/>
      <c r="AG65" s="36"/>
      <c r="AH65" s="36"/>
      <c r="AI65" s="36"/>
      <c r="AJ65" s="36"/>
      <c r="AK65" s="36"/>
      <c r="AL65" s="36"/>
      <c r="AM65" s="36"/>
      <c r="AN65" s="36"/>
      <c r="AO65" s="36"/>
      <c r="AP65" s="36"/>
      <c r="AQ65" s="37"/>
      <c r="AR65" s="35"/>
      <c r="AS65" s="36"/>
      <c r="AT65" s="36"/>
      <c r="AU65" s="36"/>
      <c r="AV65" s="36"/>
      <c r="AW65" s="36"/>
      <c r="AX65" s="36"/>
      <c r="AY65" s="36"/>
      <c r="AZ65" s="36"/>
      <c r="BA65" s="36"/>
      <c r="BB65" s="36"/>
      <c r="BC65" s="37"/>
      <c r="BD65" s="35">
        <v>11.729100000000001</v>
      </c>
      <c r="BE65" s="36">
        <v>12.4535</v>
      </c>
      <c r="BF65" s="36">
        <v>14.475</v>
      </c>
      <c r="BG65" s="36">
        <v>14.472</v>
      </c>
      <c r="BH65" s="36">
        <v>14.799300000000001</v>
      </c>
      <c r="BI65" s="36">
        <v>15.095499999999999</v>
      </c>
      <c r="BJ65" s="36">
        <v>14.4459</v>
      </c>
      <c r="BK65" s="36">
        <v>17.4085</v>
      </c>
      <c r="BL65" s="36">
        <v>17.978200000000001</v>
      </c>
      <c r="BM65" s="36">
        <v>17.4316</v>
      </c>
      <c r="BN65" s="36">
        <v>15.7211</v>
      </c>
      <c r="BO65" s="37">
        <v>14.2864</v>
      </c>
      <c r="BP65" s="35">
        <v>15.6593</v>
      </c>
      <c r="BQ65" s="36">
        <v>15.126200000000001</v>
      </c>
      <c r="BR65" s="47">
        <v>15.804600000000001</v>
      </c>
      <c r="BS65" s="36">
        <v>8.4398999999999997</v>
      </c>
      <c r="BT65" s="36">
        <f>13.96-1.043</f>
        <v>12.917000000000002</v>
      </c>
      <c r="BU65" s="36">
        <f>13.6662-1.0798</f>
        <v>12.586399999999999</v>
      </c>
      <c r="BV65" s="36">
        <f>13.5046-1.0474</f>
        <v>12.4572</v>
      </c>
      <c r="BW65" s="36">
        <v>11.5769</v>
      </c>
      <c r="BX65" s="47">
        <v>11.8985</v>
      </c>
      <c r="BY65" s="36">
        <v>11.8925</v>
      </c>
      <c r="BZ65" s="36">
        <v>12.9953</v>
      </c>
      <c r="CA65" s="38">
        <v>12.8523</v>
      </c>
      <c r="CB65" s="35">
        <v>12.742599999999999</v>
      </c>
      <c r="CC65" s="36">
        <v>11.1219</v>
      </c>
      <c r="CD65" s="36">
        <v>11.7827</v>
      </c>
      <c r="CE65" s="36">
        <v>12.1913</v>
      </c>
      <c r="CF65" s="36">
        <v>12.311500000000001</v>
      </c>
      <c r="CG65" s="36">
        <v>12.763199999999999</v>
      </c>
      <c r="CH65" s="36">
        <v>13.6355</v>
      </c>
      <c r="CI65" s="36">
        <v>12.8376</v>
      </c>
      <c r="CJ65" s="36">
        <v>14.811400000000001</v>
      </c>
      <c r="CK65" s="36">
        <v>12.58</v>
      </c>
      <c r="CL65" s="36">
        <v>13.757</v>
      </c>
      <c r="CM65" s="38">
        <v>12.79</v>
      </c>
      <c r="CN65" s="36">
        <v>12.04</v>
      </c>
      <c r="CO65" s="36">
        <v>13.672000000000001</v>
      </c>
      <c r="CP65" s="36">
        <v>13.06</v>
      </c>
      <c r="CQ65" s="36"/>
      <c r="CR65" s="36"/>
      <c r="CS65" s="36"/>
      <c r="CT65" s="36"/>
      <c r="CU65" s="36"/>
      <c r="CV65" s="36"/>
      <c r="CW65" s="36"/>
      <c r="CX65" s="36"/>
      <c r="CY65" s="36"/>
    </row>
    <row r="66" spans="1:103" ht="45" customHeight="1">
      <c r="A66" s="39">
        <v>118</v>
      </c>
      <c r="B66" s="40" t="s">
        <v>231</v>
      </c>
      <c r="C66" s="41" t="s">
        <v>232</v>
      </c>
      <c r="D66" s="41" t="s">
        <v>107</v>
      </c>
      <c r="E66" s="41" t="s">
        <v>144</v>
      </c>
      <c r="F66" s="41" t="s">
        <v>109</v>
      </c>
      <c r="G66" s="42" t="s">
        <v>114</v>
      </c>
      <c r="H66" s="35"/>
      <c r="I66" s="36"/>
      <c r="J66" s="36"/>
      <c r="K66" s="36"/>
      <c r="L66" s="36"/>
      <c r="M66" s="36"/>
      <c r="N66" s="36"/>
      <c r="O66" s="36"/>
      <c r="P66" s="36"/>
      <c r="Q66" s="36"/>
      <c r="R66" s="36"/>
      <c r="S66" s="37"/>
      <c r="T66" s="35"/>
      <c r="U66" s="36"/>
      <c r="V66" s="36"/>
      <c r="W66" s="36"/>
      <c r="X66" s="36"/>
      <c r="Y66" s="36"/>
      <c r="Z66" s="36"/>
      <c r="AA66" s="36"/>
      <c r="AB66" s="36"/>
      <c r="AC66" s="36"/>
      <c r="AD66" s="36"/>
      <c r="AE66" s="37"/>
      <c r="AF66" s="35"/>
      <c r="AG66" s="36"/>
      <c r="AH66" s="36"/>
      <c r="AI66" s="36"/>
      <c r="AJ66" s="36"/>
      <c r="AK66" s="36"/>
      <c r="AL66" s="36"/>
      <c r="AM66" s="36"/>
      <c r="AN66" s="36"/>
      <c r="AO66" s="36"/>
      <c r="AP66" s="36"/>
      <c r="AQ66" s="37"/>
      <c r="AR66" s="35"/>
      <c r="AS66" s="36"/>
      <c r="AT66" s="36"/>
      <c r="AU66" s="36"/>
      <c r="AV66" s="36"/>
      <c r="AW66" s="36"/>
      <c r="AX66" s="36"/>
      <c r="AY66" s="36"/>
      <c r="AZ66" s="36"/>
      <c r="BA66" s="36"/>
      <c r="BB66" s="36"/>
      <c r="BC66" s="37"/>
      <c r="BD66" s="35"/>
      <c r="BE66" s="36"/>
      <c r="BF66" s="36"/>
      <c r="BG66" s="36"/>
      <c r="BH66" s="36"/>
      <c r="BI66" s="36"/>
      <c r="BJ66" s="36"/>
      <c r="BK66" s="36"/>
      <c r="BL66" s="36"/>
      <c r="BM66" s="36"/>
      <c r="BN66" s="36"/>
      <c r="BO66" s="37"/>
      <c r="BP66" s="35">
        <v>8.2060999999999993</v>
      </c>
      <c r="BQ66" s="36">
        <v>5.7131400000000001</v>
      </c>
      <c r="BR66" s="36">
        <v>6.3359699999999997</v>
      </c>
      <c r="BS66" s="36">
        <v>5.1735699999999998</v>
      </c>
      <c r="BT66" s="36">
        <v>8.3000699999999998</v>
      </c>
      <c r="BU66" s="36">
        <v>4.8500499999999986</v>
      </c>
      <c r="BV66" s="36">
        <v>4.9391399999999992</v>
      </c>
      <c r="BW66" s="36">
        <v>4.7721699999999991</v>
      </c>
      <c r="BX66" s="36">
        <v>5.6388399999999983</v>
      </c>
      <c r="BY66" s="36">
        <v>4.8586899999999993</v>
      </c>
      <c r="BZ66" s="36">
        <v>6.3455499999999994</v>
      </c>
      <c r="CA66" s="38">
        <v>3.8347600000000002</v>
      </c>
      <c r="CB66" s="35"/>
      <c r="CC66" s="51">
        <v>8.2901900000000008</v>
      </c>
      <c r="CD66" s="36">
        <f>2.94+6.1729+0.1805+0.0239+0.02+0.0233+0.0428+0.00346</f>
        <v>9.40686</v>
      </c>
      <c r="CE66" s="36">
        <f>2.94+6.1729+0.1805+0.02+0.0233+0.00346+0.0428</f>
        <v>9.3829600000000006</v>
      </c>
      <c r="CF66" s="44">
        <f>2.94+6.1729+0.1805+0.1805+0.02+0.0233+0.00346</f>
        <v>9.5206600000000012</v>
      </c>
      <c r="CG66" s="49">
        <f>2.94+6.416+0.1805+0.02+0.0233+0.0838+0.0426</f>
        <v>9.7062000000000008</v>
      </c>
      <c r="CH66" s="36"/>
      <c r="CI66" s="36"/>
      <c r="CJ66" s="36"/>
      <c r="CK66" s="36" t="s">
        <v>233</v>
      </c>
      <c r="CL66" s="36" t="s">
        <v>234</v>
      </c>
      <c r="CM66" s="36" t="s">
        <v>235</v>
      </c>
      <c r="CN66" s="70"/>
      <c r="CO66" s="70"/>
      <c r="CP66" s="70">
        <f>2.94+6.2894+0.1805+0.0017+0.1189+0.00275</f>
        <v>9.5332500000000007</v>
      </c>
      <c r="CQ66" s="70"/>
      <c r="CR66" s="70"/>
      <c r="CS66" s="70"/>
      <c r="CT66" s="70"/>
      <c r="CU66" s="70"/>
      <c r="CV66" s="70"/>
      <c r="CW66" s="70"/>
      <c r="CX66" s="70"/>
      <c r="CY66" s="70"/>
    </row>
    <row r="67" spans="1:103" ht="45" customHeight="1">
      <c r="A67" s="39">
        <v>9</v>
      </c>
      <c r="B67" s="40" t="s">
        <v>236</v>
      </c>
      <c r="C67" s="41" t="s">
        <v>237</v>
      </c>
      <c r="D67" s="41" t="s">
        <v>107</v>
      </c>
      <c r="E67" s="41" t="s">
        <v>166</v>
      </c>
      <c r="F67" s="41" t="s">
        <v>125</v>
      </c>
      <c r="G67" s="42" t="s">
        <v>110</v>
      </c>
      <c r="H67" s="35">
        <v>9.68</v>
      </c>
      <c r="I67" s="36">
        <v>9.56</v>
      </c>
      <c r="J67" s="36">
        <v>9.5500000000000007</v>
      </c>
      <c r="K67" s="36">
        <v>9.64</v>
      </c>
      <c r="L67" s="36">
        <v>9.39</v>
      </c>
      <c r="M67" s="36">
        <v>12.22</v>
      </c>
      <c r="N67" s="36">
        <v>12.31</v>
      </c>
      <c r="O67" s="36">
        <v>12.55</v>
      </c>
      <c r="P67" s="36">
        <v>12.53</v>
      </c>
      <c r="Q67" s="36">
        <v>12.58</v>
      </c>
      <c r="R67" s="36">
        <v>12.63</v>
      </c>
      <c r="S67" s="37">
        <v>12.57</v>
      </c>
      <c r="T67" s="35">
        <v>12.49</v>
      </c>
      <c r="U67" s="36">
        <v>12.22</v>
      </c>
      <c r="V67" s="36">
        <v>11.7</v>
      </c>
      <c r="W67" s="36">
        <v>12.31</v>
      </c>
      <c r="X67" s="36">
        <v>10.84</v>
      </c>
      <c r="Y67" s="36">
        <v>11.49</v>
      </c>
      <c r="Z67" s="36">
        <v>11.61</v>
      </c>
      <c r="AA67" s="36">
        <v>11.92</v>
      </c>
      <c r="AB67" s="36">
        <v>11.45</v>
      </c>
      <c r="AC67" s="36">
        <v>12.07</v>
      </c>
      <c r="AD67" s="36">
        <v>12.11</v>
      </c>
      <c r="AE67" s="37">
        <v>13</v>
      </c>
      <c r="AF67" s="35">
        <v>12.57</v>
      </c>
      <c r="AG67" s="36">
        <v>12.98</v>
      </c>
      <c r="AH67" s="36">
        <v>12.74</v>
      </c>
      <c r="AI67" s="36">
        <v>12.19</v>
      </c>
      <c r="AJ67" s="36">
        <v>12.68</v>
      </c>
      <c r="AK67" s="36">
        <v>12.54</v>
      </c>
      <c r="AL67" s="36">
        <v>12.54</v>
      </c>
      <c r="AM67" s="36">
        <v>12.7</v>
      </c>
      <c r="AN67" s="36">
        <v>12.55</v>
      </c>
      <c r="AO67" s="36">
        <v>12.26</v>
      </c>
      <c r="AP67" s="36">
        <v>12.7</v>
      </c>
      <c r="AQ67" s="37">
        <v>12.18</v>
      </c>
      <c r="AR67" s="35">
        <v>12.06</v>
      </c>
      <c r="AS67" s="36">
        <v>12.17</v>
      </c>
      <c r="AT67" s="36">
        <v>12.46</v>
      </c>
      <c r="AU67" s="36">
        <v>12.6</v>
      </c>
      <c r="AV67" s="36">
        <v>12.28</v>
      </c>
      <c r="AW67" s="36">
        <v>12.4</v>
      </c>
      <c r="AX67" s="36">
        <v>12.64</v>
      </c>
      <c r="AY67" s="36">
        <v>12.7</v>
      </c>
      <c r="AZ67" s="36">
        <v>12.49</v>
      </c>
      <c r="BA67" s="36">
        <v>13.46</v>
      </c>
      <c r="BB67" s="36">
        <v>13.53</v>
      </c>
      <c r="BC67" s="37">
        <v>14.04</v>
      </c>
      <c r="BD67" s="35">
        <v>14.603999999999999</v>
      </c>
      <c r="BE67" s="36">
        <v>13.965400000000001</v>
      </c>
      <c r="BF67" s="36">
        <v>15.741300000000001</v>
      </c>
      <c r="BG67" s="36">
        <v>15.815300000000001</v>
      </c>
      <c r="BH67" s="36">
        <v>15.543799999999999</v>
      </c>
      <c r="BI67" s="36">
        <v>15.9209</v>
      </c>
      <c r="BJ67" s="36">
        <v>17.641200000000001</v>
      </c>
      <c r="BK67" s="36">
        <v>17.352399999999999</v>
      </c>
      <c r="BL67" s="36">
        <v>17.201699999999999</v>
      </c>
      <c r="BM67" s="36">
        <v>17.287700000000001</v>
      </c>
      <c r="BN67" s="36">
        <v>16.856999999999999</v>
      </c>
      <c r="BO67" s="37">
        <v>18.627099999999999</v>
      </c>
      <c r="BP67" s="35">
        <v>16.4985</v>
      </c>
      <c r="BQ67" s="36">
        <v>16.706</v>
      </c>
      <c r="BR67" s="47">
        <v>15.9413</v>
      </c>
      <c r="BS67" s="36">
        <v>15.6576</v>
      </c>
      <c r="BT67" s="36">
        <v>14.8956</v>
      </c>
      <c r="BU67" s="36">
        <v>14.71</v>
      </c>
      <c r="BV67" s="36">
        <v>14.51</v>
      </c>
      <c r="BW67" s="36">
        <v>14.28</v>
      </c>
      <c r="BX67" s="36">
        <v>13.14</v>
      </c>
      <c r="BY67" s="36">
        <v>13.08</v>
      </c>
      <c r="BZ67" s="36">
        <v>11.958500000000001</v>
      </c>
      <c r="CA67" s="38">
        <v>11.4177</v>
      </c>
      <c r="CB67" s="63">
        <v>10.4361</v>
      </c>
      <c r="CC67" s="36">
        <v>10.7837</v>
      </c>
      <c r="CD67" s="45">
        <v>11.6281</v>
      </c>
      <c r="CE67" s="45">
        <v>11.6661</v>
      </c>
      <c r="CF67" s="45">
        <v>12.7104</v>
      </c>
      <c r="CG67" s="45">
        <v>9.9098000000000006</v>
      </c>
      <c r="CH67" s="36">
        <v>13.0242</v>
      </c>
      <c r="CI67" s="36">
        <v>12.988799999999999</v>
      </c>
      <c r="CJ67" s="36">
        <v>11.9948</v>
      </c>
      <c r="CK67" s="36">
        <v>10.943899999999999</v>
      </c>
      <c r="CL67" s="36">
        <v>12.422599999999999</v>
      </c>
      <c r="CM67" s="38">
        <v>12.274800000000001</v>
      </c>
      <c r="CN67" s="67">
        <v>11.795500000000001</v>
      </c>
      <c r="CO67" s="67">
        <v>10.664899999999999</v>
      </c>
      <c r="CP67" s="67">
        <v>13.014699999999999</v>
      </c>
      <c r="CQ67" s="67"/>
      <c r="CR67" s="67"/>
      <c r="CS67" s="67"/>
      <c r="CT67" s="67"/>
      <c r="CU67" s="67"/>
      <c r="CV67" s="67"/>
      <c r="CW67" s="67"/>
      <c r="CX67" s="67"/>
      <c r="CY67" s="67"/>
    </row>
    <row r="68" spans="1:103" ht="45" customHeight="1">
      <c r="A68" s="39">
        <v>45</v>
      </c>
      <c r="B68" s="40" t="s">
        <v>238</v>
      </c>
      <c r="C68" s="41" t="s">
        <v>239</v>
      </c>
      <c r="D68" s="41" t="s">
        <v>134</v>
      </c>
      <c r="E68" s="41" t="s">
        <v>121</v>
      </c>
      <c r="F68" s="41" t="s">
        <v>109</v>
      </c>
      <c r="G68" s="42" t="s">
        <v>110</v>
      </c>
      <c r="H68" s="35"/>
      <c r="I68" s="36"/>
      <c r="J68" s="36"/>
      <c r="K68" s="36"/>
      <c r="L68" s="36"/>
      <c r="M68" s="36"/>
      <c r="N68" s="36"/>
      <c r="O68" s="36"/>
      <c r="P68" s="36"/>
      <c r="Q68" s="36"/>
      <c r="R68" s="36"/>
      <c r="S68" s="37"/>
      <c r="T68" s="35"/>
      <c r="U68" s="36"/>
      <c r="V68" s="36"/>
      <c r="W68" s="36"/>
      <c r="X68" s="36"/>
      <c r="Y68" s="36"/>
      <c r="Z68" s="36"/>
      <c r="AA68" s="36"/>
      <c r="AB68" s="36"/>
      <c r="AC68" s="36"/>
      <c r="AD68" s="36"/>
      <c r="AE68" s="37"/>
      <c r="AF68" s="35"/>
      <c r="AG68" s="36"/>
      <c r="AH68" s="36"/>
      <c r="AI68" s="36"/>
      <c r="AJ68" s="36"/>
      <c r="AK68" s="36"/>
      <c r="AL68" s="36"/>
      <c r="AM68" s="36"/>
      <c r="AN68" s="36"/>
      <c r="AO68" s="36"/>
      <c r="AP68" s="36"/>
      <c r="AQ68" s="37"/>
      <c r="AR68" s="35"/>
      <c r="AS68" s="36"/>
      <c r="AT68" s="36"/>
      <c r="AU68" s="36"/>
      <c r="AV68" s="36"/>
      <c r="AW68" s="36"/>
      <c r="AX68" s="36"/>
      <c r="AY68" s="36"/>
      <c r="AZ68" s="36"/>
      <c r="BA68" s="36"/>
      <c r="BB68" s="36"/>
      <c r="BC68" s="37"/>
      <c r="BD68" s="35">
        <v>11.3668</v>
      </c>
      <c r="BE68" s="36">
        <v>11.3705</v>
      </c>
      <c r="BF68" s="36">
        <v>11.3439</v>
      </c>
      <c r="BG68" s="36">
        <v>12.218400000000001</v>
      </c>
      <c r="BH68" s="36">
        <v>12.250400000000001</v>
      </c>
      <c r="BI68" s="36">
        <v>12.3864</v>
      </c>
      <c r="BJ68" s="36">
        <v>12.475099999999999</v>
      </c>
      <c r="BK68" s="36">
        <v>12.484</v>
      </c>
      <c r="BL68" s="36">
        <v>12.3827</v>
      </c>
      <c r="BM68" s="36">
        <v>12.5007</v>
      </c>
      <c r="BN68" s="36">
        <v>12.385400000000001</v>
      </c>
      <c r="BO68" s="37"/>
      <c r="BP68" s="35">
        <v>11.9611</v>
      </c>
      <c r="BQ68" s="36">
        <v>11.924799999999999</v>
      </c>
      <c r="BR68" s="47">
        <v>11.7018</v>
      </c>
      <c r="BS68" s="36">
        <v>12.6031</v>
      </c>
      <c r="BT68" s="36">
        <v>12.757</v>
      </c>
      <c r="BU68" s="36">
        <v>12.5657</v>
      </c>
      <c r="BV68" s="36">
        <v>12.957000000000001</v>
      </c>
      <c r="BW68" s="36">
        <v>12.851000000000001</v>
      </c>
      <c r="BX68" s="36">
        <v>12.830399999999999</v>
      </c>
      <c r="BY68" s="36">
        <v>13.005599999999999</v>
      </c>
      <c r="BZ68" s="36">
        <v>12.9505</v>
      </c>
      <c r="CA68" s="38">
        <v>12.646000000000001</v>
      </c>
      <c r="CB68" s="72">
        <v>12.3504</v>
      </c>
      <c r="CC68" s="73">
        <v>12.117000000000001</v>
      </c>
      <c r="CD68" s="73">
        <v>12.490399999999999</v>
      </c>
      <c r="CE68" s="72">
        <v>13.2126</v>
      </c>
      <c r="CF68" s="72">
        <v>13.2484</v>
      </c>
      <c r="CG68" s="72">
        <v>13.533799999999999</v>
      </c>
      <c r="CH68" s="72">
        <v>13.5863</v>
      </c>
      <c r="CI68" s="45">
        <v>13.3034</v>
      </c>
      <c r="CJ68" s="45">
        <v>13.446999999999999</v>
      </c>
      <c r="CK68" s="45">
        <v>13.337400000000001</v>
      </c>
      <c r="CL68" s="45">
        <v>13.3306</v>
      </c>
      <c r="CM68" s="50">
        <v>13.012</v>
      </c>
      <c r="CN68" s="49">
        <v>12.8912</v>
      </c>
      <c r="CO68" s="45">
        <v>12.885400000000001</v>
      </c>
      <c r="CP68" s="45">
        <v>12.5451</v>
      </c>
      <c r="CQ68" s="45"/>
      <c r="CR68" s="45"/>
      <c r="CS68" s="45"/>
      <c r="CT68" s="45"/>
      <c r="CU68" s="45"/>
      <c r="CV68" s="45"/>
      <c r="CW68" s="45"/>
      <c r="CX68" s="45"/>
      <c r="CY68" s="45"/>
    </row>
    <row r="69" spans="1:103" ht="45" customHeight="1">
      <c r="A69" s="39">
        <v>58</v>
      </c>
      <c r="B69" s="40" t="s">
        <v>240</v>
      </c>
      <c r="C69" s="41" t="s">
        <v>241</v>
      </c>
      <c r="D69" s="41" t="s">
        <v>107</v>
      </c>
      <c r="E69" s="41" t="s">
        <v>144</v>
      </c>
      <c r="F69" s="41" t="s">
        <v>109</v>
      </c>
      <c r="G69" s="42" t="s">
        <v>110</v>
      </c>
      <c r="H69" s="35">
        <v>10.412100000000001</v>
      </c>
      <c r="I69" s="36">
        <v>10.1532</v>
      </c>
      <c r="J69" s="36">
        <v>10.818899999999999</v>
      </c>
      <c r="K69" s="36">
        <v>11.2326</v>
      </c>
      <c r="L69" s="36">
        <v>9.9756</v>
      </c>
      <c r="M69" s="36">
        <v>10.276899999999999</v>
      </c>
      <c r="N69" s="36">
        <v>10.522500000000001</v>
      </c>
      <c r="O69" s="36">
        <v>10.339</v>
      </c>
      <c r="P69" s="36">
        <v>9.9053000000000004</v>
      </c>
      <c r="Q69" s="36">
        <v>10.408200000000001</v>
      </c>
      <c r="R69" s="36">
        <v>10.173400000000001</v>
      </c>
      <c r="S69" s="37">
        <v>10.5352</v>
      </c>
      <c r="T69" s="35">
        <v>10.972200000000001</v>
      </c>
      <c r="U69" s="36">
        <v>11.554500000000001</v>
      </c>
      <c r="V69" s="36">
        <v>11.066800000000001</v>
      </c>
      <c r="W69" s="36">
        <v>11.481400000000001</v>
      </c>
      <c r="X69" s="36">
        <v>11.3279</v>
      </c>
      <c r="Y69" s="36">
        <v>10.764799999999999</v>
      </c>
      <c r="Z69" s="36">
        <v>11.3339</v>
      </c>
      <c r="AA69" s="36">
        <v>9.8391000000000002</v>
      </c>
      <c r="AB69" s="36">
        <v>9.8194999999999997</v>
      </c>
      <c r="AC69" s="36">
        <v>9.8484999999999996</v>
      </c>
      <c r="AD69" s="36">
        <v>9.5393000000000008</v>
      </c>
      <c r="AE69" s="37">
        <v>9.4336000000000002</v>
      </c>
      <c r="AF69" s="35">
        <v>10.0938</v>
      </c>
      <c r="AG69" s="36">
        <v>9.6738</v>
      </c>
      <c r="AH69" s="36">
        <v>9.8310999999999993</v>
      </c>
      <c r="AI69" s="36">
        <v>9.4321999999999999</v>
      </c>
      <c r="AJ69" s="36">
        <v>9.3079999999999998</v>
      </c>
      <c r="AK69" s="36">
        <v>8.9681999999999995</v>
      </c>
      <c r="AL69" s="36">
        <v>8.7330000000000005</v>
      </c>
      <c r="AM69" s="36">
        <v>8.2134999999999998</v>
      </c>
      <c r="AN69" s="36">
        <v>8.218</v>
      </c>
      <c r="AO69" s="36">
        <v>8.8506</v>
      </c>
      <c r="AP69" s="36">
        <v>8.5762999999999998</v>
      </c>
      <c r="AQ69" s="37">
        <v>9.1036000000000001</v>
      </c>
      <c r="AR69" s="35">
        <v>9.0940999999999992</v>
      </c>
      <c r="AS69" s="36">
        <v>9.4247999999999994</v>
      </c>
      <c r="AT69" s="36">
        <v>9.2719000000000005</v>
      </c>
      <c r="AU69" s="36">
        <v>9.8894000000000002</v>
      </c>
      <c r="AV69" s="36">
        <v>9.6199999999999992</v>
      </c>
      <c r="AW69" s="36">
        <v>10.534700000000001</v>
      </c>
      <c r="AX69" s="36">
        <v>9.8513999999999999</v>
      </c>
      <c r="AY69" s="36">
        <v>9.8964999999999996</v>
      </c>
      <c r="AZ69" s="36">
        <v>9.5053999999999998</v>
      </c>
      <c r="BA69" s="36">
        <v>10.249700000000001</v>
      </c>
      <c r="BB69" s="36">
        <v>11.136900000000001</v>
      </c>
      <c r="BC69" s="37">
        <v>11.2218</v>
      </c>
      <c r="BD69" s="35">
        <v>12.699299999999999</v>
      </c>
      <c r="BE69" s="36">
        <v>13.1061</v>
      </c>
      <c r="BF69" s="36">
        <v>12.523400000000001</v>
      </c>
      <c r="BG69" s="36">
        <v>12.742800000000001</v>
      </c>
      <c r="BH69" s="36">
        <v>13.9656</v>
      </c>
      <c r="BI69" s="36">
        <v>14.955</v>
      </c>
      <c r="BJ69" s="36">
        <v>16.2212</v>
      </c>
      <c r="BK69" s="36">
        <v>16.7973</v>
      </c>
      <c r="BL69" s="36">
        <v>16.630299999999998</v>
      </c>
      <c r="BM69" s="36">
        <v>17.382000000000001</v>
      </c>
      <c r="BN69" s="36">
        <v>17.3383</v>
      </c>
      <c r="BO69" s="37">
        <v>17.446899999999999</v>
      </c>
      <c r="BP69" s="35">
        <v>15.5473</v>
      </c>
      <c r="BQ69" s="36">
        <v>15.8263</v>
      </c>
      <c r="BR69" s="47">
        <v>15.782299999999999</v>
      </c>
      <c r="BS69" s="36">
        <v>14.6075</v>
      </c>
      <c r="BT69" s="36">
        <v>12.567299999999999</v>
      </c>
      <c r="BU69" s="36">
        <f>11.9734-1.2837</f>
        <v>10.6897</v>
      </c>
      <c r="BV69" s="36">
        <f>11.173-1.1945</f>
        <v>9.9785000000000004</v>
      </c>
      <c r="BW69" s="36">
        <v>10.8826</v>
      </c>
      <c r="BX69" s="36">
        <v>11.01</v>
      </c>
      <c r="BY69" s="36">
        <v>8.25</v>
      </c>
      <c r="BZ69" s="36">
        <v>10.57</v>
      </c>
      <c r="CA69" s="38">
        <v>10.1221</v>
      </c>
      <c r="CB69" s="52">
        <v>9.6199999999999992</v>
      </c>
      <c r="CC69" s="51">
        <v>9.65</v>
      </c>
      <c r="CD69" s="51">
        <v>9.9994999999999994</v>
      </c>
      <c r="CE69" s="45">
        <v>10.2598</v>
      </c>
      <c r="CF69" s="45">
        <v>10.386799999999999</v>
      </c>
      <c r="CG69" s="36">
        <v>10.447800000000001</v>
      </c>
      <c r="CH69" s="45">
        <v>10.0221</v>
      </c>
      <c r="CI69" s="49">
        <v>9.9936000000000007</v>
      </c>
      <c r="CJ69" s="45">
        <v>9.8594000000000008</v>
      </c>
      <c r="CK69" s="45">
        <v>9.86</v>
      </c>
      <c r="CL69" s="45">
        <v>10.0274</v>
      </c>
      <c r="CM69" s="50">
        <v>9.9734999999999996</v>
      </c>
      <c r="CN69" s="74">
        <v>9.8553999999999995</v>
      </c>
      <c r="CO69" s="71">
        <v>9.8553999999999995</v>
      </c>
      <c r="CP69" s="71">
        <v>9.6593999999999998</v>
      </c>
      <c r="CQ69" s="71"/>
      <c r="CR69" s="71"/>
      <c r="CS69" s="71"/>
      <c r="CT69" s="71"/>
      <c r="CU69" s="71"/>
      <c r="CV69" s="71"/>
      <c r="CW69" s="71"/>
      <c r="CX69" s="71"/>
      <c r="CY69" s="71"/>
    </row>
    <row r="70" spans="1:103" ht="45" customHeight="1">
      <c r="A70" s="39">
        <v>119</v>
      </c>
      <c r="B70" s="40" t="s">
        <v>242</v>
      </c>
      <c r="C70" s="41" t="s">
        <v>243</v>
      </c>
      <c r="D70" s="41" t="s">
        <v>107</v>
      </c>
      <c r="E70" s="41" t="s">
        <v>117</v>
      </c>
      <c r="F70" s="41" t="s">
        <v>118</v>
      </c>
      <c r="G70" s="42" t="s">
        <v>110</v>
      </c>
      <c r="H70" s="35">
        <v>9.0888000000000009</v>
      </c>
      <c r="I70" s="36">
        <v>9.3501999999999992</v>
      </c>
      <c r="J70" s="36">
        <v>8.5251000000000001</v>
      </c>
      <c r="K70" s="36">
        <v>10.2538</v>
      </c>
      <c r="L70" s="36">
        <v>8.4334000000000007</v>
      </c>
      <c r="M70" s="36">
        <v>9.7751000000000001</v>
      </c>
      <c r="N70" s="36">
        <v>9.6184999999999992</v>
      </c>
      <c r="O70" s="36">
        <v>10.148</v>
      </c>
      <c r="P70" s="36">
        <v>9.7272999999999996</v>
      </c>
      <c r="Q70" s="36">
        <v>10.025</v>
      </c>
      <c r="R70" s="36">
        <v>9.3719999999999999</v>
      </c>
      <c r="S70" s="37">
        <v>9.6195000000000004</v>
      </c>
      <c r="T70" s="35">
        <v>9.2059999999999995</v>
      </c>
      <c r="U70" s="36">
        <v>12.162800000000001</v>
      </c>
      <c r="V70" s="36">
        <v>10.604799999999999</v>
      </c>
      <c r="W70" s="36">
        <v>9.7788000000000004</v>
      </c>
      <c r="X70" s="36">
        <v>10.6919</v>
      </c>
      <c r="Y70" s="36">
        <v>10.2401</v>
      </c>
      <c r="Z70" s="36">
        <v>10.411199999999999</v>
      </c>
      <c r="AA70" s="36">
        <v>10.1335</v>
      </c>
      <c r="AB70" s="36">
        <v>9.5802999999999994</v>
      </c>
      <c r="AC70" s="36">
        <v>9.8115000000000006</v>
      </c>
      <c r="AD70" s="36">
        <v>9.4620999999999995</v>
      </c>
      <c r="AE70" s="37">
        <v>9.8672000000000004</v>
      </c>
      <c r="AF70" s="35">
        <v>10.211600000000001</v>
      </c>
      <c r="AG70" s="36">
        <v>8.1494999999999997</v>
      </c>
      <c r="AH70" s="36">
        <v>8.4214000000000002</v>
      </c>
      <c r="AI70" s="36">
        <v>10.1714</v>
      </c>
      <c r="AJ70" s="36">
        <v>9.1443999999999992</v>
      </c>
      <c r="AK70" s="36">
        <v>9.1440999999999999</v>
      </c>
      <c r="AL70" s="36">
        <v>9.0111000000000008</v>
      </c>
      <c r="AM70" s="36">
        <v>9.3424999999999994</v>
      </c>
      <c r="AN70" s="36">
        <v>9.2355999999999998</v>
      </c>
      <c r="AO70" s="36">
        <v>9.4040999999999997</v>
      </c>
      <c r="AP70" s="36">
        <v>9.2904999999999998</v>
      </c>
      <c r="AQ70" s="37">
        <v>8.7461000000000002</v>
      </c>
      <c r="AR70" s="35">
        <v>8.7337000000000007</v>
      </c>
      <c r="AS70" s="36">
        <v>9.1623000000000001</v>
      </c>
      <c r="AT70" s="36">
        <v>9.2636000000000003</v>
      </c>
      <c r="AU70" s="36">
        <v>8.8054000000000006</v>
      </c>
      <c r="AV70" s="36">
        <v>9.0592000000000006</v>
      </c>
      <c r="AW70" s="36">
        <v>9.5284999999999993</v>
      </c>
      <c r="AX70" s="36">
        <v>9.1448999999999998</v>
      </c>
      <c r="AY70" s="36">
        <v>8.5222999999999995</v>
      </c>
      <c r="AZ70" s="36">
        <v>10.4001</v>
      </c>
      <c r="BA70" s="36">
        <v>9.4519000000000002</v>
      </c>
      <c r="BB70" s="36">
        <v>9.3386999999999993</v>
      </c>
      <c r="BC70" s="37">
        <v>8.4440000000000008</v>
      </c>
      <c r="BD70" s="35">
        <v>9.9049999999999994</v>
      </c>
      <c r="BE70" s="36">
        <v>10.516500000000001</v>
      </c>
      <c r="BF70" s="36">
        <v>10.085699999999999</v>
      </c>
      <c r="BG70" s="36">
        <v>10.3733</v>
      </c>
      <c r="BH70" s="36">
        <v>10.0785</v>
      </c>
      <c r="BI70" s="36">
        <v>10.236800000000001</v>
      </c>
      <c r="BJ70" s="36">
        <v>10.791700000000001</v>
      </c>
      <c r="BK70" s="36">
        <v>9.3782999999999994</v>
      </c>
      <c r="BL70" s="36">
        <v>10.6654</v>
      </c>
      <c r="BM70" s="36">
        <v>10.5101</v>
      </c>
      <c r="BN70" s="36">
        <v>11.070399999999999</v>
      </c>
      <c r="BO70" s="37">
        <v>11.1846</v>
      </c>
      <c r="BP70" s="35">
        <v>10.6044</v>
      </c>
      <c r="BQ70" s="36">
        <v>9.5839999999999996</v>
      </c>
      <c r="BR70" s="36">
        <v>10.694000000000001</v>
      </c>
      <c r="BS70" s="36">
        <v>9.8449000000000009</v>
      </c>
      <c r="BT70" s="36">
        <v>10.1088</v>
      </c>
      <c r="BU70" s="36">
        <v>10.4108</v>
      </c>
      <c r="BV70" s="36">
        <v>11.292</v>
      </c>
      <c r="BW70" s="36">
        <v>11.061999999999999</v>
      </c>
      <c r="BX70" s="36">
        <v>11.064500000000001</v>
      </c>
      <c r="BY70" s="36">
        <v>11.2784</v>
      </c>
      <c r="BZ70" s="36">
        <f>12.9298-0.4558-0.0985</f>
        <v>12.375500000000001</v>
      </c>
      <c r="CA70" s="38">
        <v>12.338800000000001</v>
      </c>
      <c r="CB70" s="63">
        <v>12.5585</v>
      </c>
      <c r="CC70" s="51">
        <v>13.4137</v>
      </c>
      <c r="CD70" s="45">
        <v>12.235200000000001</v>
      </c>
      <c r="CE70" s="45">
        <v>13.1975</v>
      </c>
      <c r="CF70" s="45">
        <v>14.4686</v>
      </c>
      <c r="CG70" s="36">
        <v>10.413500000000001</v>
      </c>
      <c r="CH70" s="45">
        <v>15.246499999999999</v>
      </c>
      <c r="CI70" s="45">
        <v>17.675000000000001</v>
      </c>
      <c r="CJ70" s="45">
        <v>17.675000000000001</v>
      </c>
      <c r="CK70" s="45">
        <v>13.459099999999999</v>
      </c>
      <c r="CL70" s="45">
        <v>13.908799999999999</v>
      </c>
      <c r="CM70" s="50">
        <v>12.826000000000001</v>
      </c>
      <c r="CN70" s="36">
        <v>12.3108</v>
      </c>
      <c r="CO70" s="45">
        <v>13.7279</v>
      </c>
      <c r="CP70" s="45">
        <v>13.0732</v>
      </c>
      <c r="CQ70" s="45"/>
      <c r="CR70" s="45"/>
      <c r="CS70" s="45"/>
      <c r="CT70" s="45"/>
      <c r="CU70" s="45"/>
      <c r="CV70" s="45"/>
      <c r="CW70" s="45"/>
      <c r="CX70" s="45"/>
      <c r="CY70" s="45"/>
    </row>
    <row r="71" spans="1:103" ht="45" customHeight="1">
      <c r="A71" s="39">
        <v>104</v>
      </c>
      <c r="B71" s="40" t="s">
        <v>244</v>
      </c>
      <c r="C71" s="41" t="s">
        <v>245</v>
      </c>
      <c r="D71" s="41" t="s">
        <v>107</v>
      </c>
      <c r="E71" s="41" t="s">
        <v>144</v>
      </c>
      <c r="F71" s="41" t="s">
        <v>109</v>
      </c>
      <c r="G71" s="42" t="s">
        <v>114</v>
      </c>
      <c r="H71" s="35">
        <v>6.3985000000000003</v>
      </c>
      <c r="I71" s="36">
        <v>6.8055000000000003</v>
      </c>
      <c r="J71" s="36">
        <v>6.9147999999999996</v>
      </c>
      <c r="K71" s="36">
        <v>7.1468999999999996</v>
      </c>
      <c r="L71" s="36">
        <v>6.7092000000000001</v>
      </c>
      <c r="M71" s="36">
        <v>6.6063000000000001</v>
      </c>
      <c r="N71" s="36">
        <v>6.5582000000000003</v>
      </c>
      <c r="O71" s="36">
        <v>6.4036</v>
      </c>
      <c r="P71" s="36">
        <v>6.4150999999999998</v>
      </c>
      <c r="Q71" s="36">
        <v>6.3780000000000001</v>
      </c>
      <c r="R71" s="36">
        <v>6.5544000000000002</v>
      </c>
      <c r="S71" s="37">
        <v>6.3817000000000004</v>
      </c>
      <c r="T71" s="35">
        <v>6.2774999999999999</v>
      </c>
      <c r="U71" s="36">
        <v>6.8164999999999996</v>
      </c>
      <c r="V71" s="36">
        <v>6.8097000000000003</v>
      </c>
      <c r="W71" s="36">
        <v>6.9993999999999996</v>
      </c>
      <c r="X71" s="36">
        <v>7.3262999999999998</v>
      </c>
      <c r="Y71" s="36">
        <v>6.4344999999999999</v>
      </c>
      <c r="Z71" s="36">
        <v>6.3529999999999998</v>
      </c>
      <c r="AA71" s="36">
        <v>6.3837999999999999</v>
      </c>
      <c r="AB71" s="36">
        <v>6.2080000000000002</v>
      </c>
      <c r="AC71" s="36">
        <v>6.2732999999999999</v>
      </c>
      <c r="AD71" s="36">
        <v>6.3048999999999999</v>
      </c>
      <c r="AE71" s="37">
        <v>6.4177999999999997</v>
      </c>
      <c r="AF71" s="35">
        <v>6.1215999999999999</v>
      </c>
      <c r="AG71" s="36">
        <v>6.1582999999999997</v>
      </c>
      <c r="AH71" s="36">
        <v>6.4966999999999997</v>
      </c>
      <c r="AI71" s="36">
        <v>6.5298999999999996</v>
      </c>
      <c r="AJ71" s="36">
        <v>6.1173999999999999</v>
      </c>
      <c r="AK71" s="36">
        <v>6.2686999999999999</v>
      </c>
      <c r="AL71" s="36">
        <v>6.2365000000000004</v>
      </c>
      <c r="AM71" s="36">
        <v>6.2370000000000001</v>
      </c>
      <c r="AN71" s="36">
        <v>3.9796999999999998</v>
      </c>
      <c r="AO71" s="36">
        <v>5.8593000000000002</v>
      </c>
      <c r="AP71" s="36">
        <v>6.0281000000000002</v>
      </c>
      <c r="AQ71" s="37">
        <v>6.2770999999999999</v>
      </c>
      <c r="AR71" s="35">
        <v>5.9922000000000004</v>
      </c>
      <c r="AS71" s="36">
        <v>6.3529999999999998</v>
      </c>
      <c r="AT71" s="36">
        <v>6.4352</v>
      </c>
      <c r="AU71" s="36">
        <v>6.4499000000000004</v>
      </c>
      <c r="AV71" s="36">
        <v>6.1079999999999997</v>
      </c>
      <c r="AW71" s="36">
        <v>6.3654000000000002</v>
      </c>
      <c r="AX71" s="36">
        <v>6.1124000000000001</v>
      </c>
      <c r="AY71" s="36">
        <v>5.8634000000000004</v>
      </c>
      <c r="AZ71" s="36">
        <v>5.8108000000000004</v>
      </c>
      <c r="BA71" s="36">
        <v>5.9880000000000004</v>
      </c>
      <c r="BB71" s="36">
        <v>6.0090000000000003</v>
      </c>
      <c r="BC71" s="37">
        <v>6.0933999999999999</v>
      </c>
      <c r="BD71" s="35">
        <v>6.0224000000000002</v>
      </c>
      <c r="BE71" s="36">
        <v>6.4596</v>
      </c>
      <c r="BF71" s="36">
        <v>6.4246999999999996</v>
      </c>
      <c r="BG71" s="36">
        <v>6.5415999999999999</v>
      </c>
      <c r="BH71" s="36">
        <v>6.3971</v>
      </c>
      <c r="BI71" s="36">
        <v>6.6658999999999997</v>
      </c>
      <c r="BJ71" s="36">
        <v>6.4917999999999996</v>
      </c>
      <c r="BK71" s="36">
        <v>6.1470000000000002</v>
      </c>
      <c r="BL71" s="36">
        <v>6.0972999999999997</v>
      </c>
      <c r="BM71" s="36">
        <v>6.1731999999999996</v>
      </c>
      <c r="BN71" s="36">
        <v>6.1378000000000004</v>
      </c>
      <c r="BO71" s="37">
        <v>6.3312999999999997</v>
      </c>
      <c r="BP71" s="35">
        <v>5.8646000000000003</v>
      </c>
      <c r="BQ71" s="36">
        <v>5.7904999999999998</v>
      </c>
      <c r="BR71" s="36">
        <v>5.9988000000000001</v>
      </c>
      <c r="BS71" s="36">
        <v>6.1216999999999997</v>
      </c>
      <c r="BT71" s="36">
        <v>5.7949999999999999</v>
      </c>
      <c r="BU71" s="36">
        <f>15.4224-1.6608</f>
        <v>13.7616</v>
      </c>
      <c r="BV71" s="36">
        <v>11.3508</v>
      </c>
      <c r="BW71" s="36">
        <v>10.423299999999999</v>
      </c>
      <c r="BX71" s="36">
        <v>10.3863</v>
      </c>
      <c r="BY71" s="36">
        <v>9.7579999999999991</v>
      </c>
      <c r="BZ71" s="36">
        <v>10.6425</v>
      </c>
      <c r="CA71" s="38"/>
      <c r="CB71" s="35"/>
      <c r="CC71" s="36">
        <v>10.510300000000001</v>
      </c>
      <c r="CD71" s="36">
        <v>10.8788</v>
      </c>
      <c r="CE71" s="36">
        <v>10.770799999999999</v>
      </c>
      <c r="CF71" s="36">
        <v>10.450900000000001</v>
      </c>
      <c r="CG71" s="36">
        <v>10.1333</v>
      </c>
      <c r="CH71" s="36">
        <v>10.574</v>
      </c>
      <c r="CI71" s="36">
        <v>9.6949000000000005</v>
      </c>
      <c r="CJ71" s="36">
        <v>12.295199999999999</v>
      </c>
      <c r="CK71" s="45" t="s">
        <v>246</v>
      </c>
      <c r="CL71" s="45" t="s">
        <v>247</v>
      </c>
      <c r="CM71" s="45" t="s">
        <v>248</v>
      </c>
      <c r="CN71" s="70"/>
      <c r="CO71" s="70"/>
      <c r="CP71" s="70"/>
      <c r="CQ71" s="70"/>
      <c r="CR71" s="70"/>
      <c r="CS71" s="70"/>
      <c r="CT71" s="70"/>
      <c r="CU71" s="70"/>
      <c r="CV71" s="70"/>
      <c r="CW71" s="70"/>
      <c r="CX71" s="70"/>
      <c r="CY71" s="70"/>
    </row>
    <row r="72" spans="1:103" ht="45" customHeight="1">
      <c r="A72" s="39">
        <v>74</v>
      </c>
      <c r="B72" s="40" t="s">
        <v>249</v>
      </c>
      <c r="C72" s="41" t="s">
        <v>250</v>
      </c>
      <c r="D72" s="41" t="s">
        <v>107</v>
      </c>
      <c r="E72" s="41" t="s">
        <v>108</v>
      </c>
      <c r="F72" s="41" t="s">
        <v>109</v>
      </c>
      <c r="G72" s="42" t="s">
        <v>110</v>
      </c>
      <c r="H72" s="35"/>
      <c r="I72" s="36"/>
      <c r="J72" s="36"/>
      <c r="K72" s="36"/>
      <c r="L72" s="36"/>
      <c r="M72" s="36"/>
      <c r="N72" s="36"/>
      <c r="O72" s="36"/>
      <c r="P72" s="36"/>
      <c r="Q72" s="36"/>
      <c r="R72" s="36"/>
      <c r="S72" s="37"/>
      <c r="T72" s="35"/>
      <c r="U72" s="36"/>
      <c r="V72" s="36"/>
      <c r="W72" s="36"/>
      <c r="X72" s="36"/>
      <c r="Y72" s="36"/>
      <c r="Z72" s="36"/>
      <c r="AA72" s="36"/>
      <c r="AB72" s="36"/>
      <c r="AC72" s="36"/>
      <c r="AD72" s="36"/>
      <c r="AE72" s="37"/>
      <c r="AF72" s="35"/>
      <c r="AG72" s="36"/>
      <c r="AH72" s="36"/>
      <c r="AI72" s="36"/>
      <c r="AJ72" s="36"/>
      <c r="AK72" s="36"/>
      <c r="AL72" s="36"/>
      <c r="AM72" s="36"/>
      <c r="AN72" s="36"/>
      <c r="AO72" s="36"/>
      <c r="AP72" s="36"/>
      <c r="AQ72" s="37"/>
      <c r="AR72" s="35">
        <v>8.6018000000000008</v>
      </c>
      <c r="AS72" s="36">
        <v>7.0046999999999997</v>
      </c>
      <c r="AT72" s="36">
        <v>6.5986000000000002</v>
      </c>
      <c r="AU72" s="36">
        <v>9.0497999999999994</v>
      </c>
      <c r="AV72" s="36">
        <v>8.7036999999999995</v>
      </c>
      <c r="AW72" s="36">
        <v>13.3971</v>
      </c>
      <c r="AX72" s="36">
        <v>12.0335</v>
      </c>
      <c r="AY72" s="36">
        <v>11.443</v>
      </c>
      <c r="AZ72" s="36"/>
      <c r="BA72" s="36"/>
      <c r="BB72" s="36"/>
      <c r="BC72" s="37"/>
      <c r="BD72" s="35"/>
      <c r="BE72" s="36"/>
      <c r="BF72" s="36"/>
      <c r="BG72" s="36"/>
      <c r="BH72" s="36"/>
      <c r="BI72" s="36"/>
      <c r="BJ72" s="36">
        <v>15.278499999999999</v>
      </c>
      <c r="BK72" s="36"/>
      <c r="BL72" s="36"/>
      <c r="BM72" s="36">
        <v>16.059799999999999</v>
      </c>
      <c r="BN72" s="36">
        <v>10.453900000000001</v>
      </c>
      <c r="BO72" s="37"/>
      <c r="BP72" s="35">
        <v>10.9658</v>
      </c>
      <c r="BQ72" s="36">
        <v>10.420400000000001</v>
      </c>
      <c r="BR72" s="36">
        <v>10.9293</v>
      </c>
      <c r="BS72" s="36">
        <v>11.581899999999999</v>
      </c>
      <c r="BT72" s="36">
        <v>10.2485</v>
      </c>
      <c r="BU72" s="36">
        <v>9.7843999999999998</v>
      </c>
      <c r="BV72" s="36">
        <v>9.6158999999999999</v>
      </c>
      <c r="BW72" s="36">
        <v>9.4903999999999993</v>
      </c>
      <c r="BX72" s="36">
        <v>9.2647999999999993</v>
      </c>
      <c r="BY72" s="36">
        <v>9.1655999999999995</v>
      </c>
      <c r="BZ72" s="36">
        <v>9.8249999999999993</v>
      </c>
      <c r="CA72" s="38">
        <f>CB72-0.0343</f>
        <v>10.124599999999999</v>
      </c>
      <c r="CB72" s="35">
        <v>10.158899999999999</v>
      </c>
      <c r="CC72" s="45">
        <v>9.9419000000000004</v>
      </c>
      <c r="CD72" s="36">
        <v>9.8085000000000004</v>
      </c>
      <c r="CE72" s="45">
        <v>9.9730000000000008</v>
      </c>
      <c r="CF72" s="44">
        <v>9.1049000000000007</v>
      </c>
      <c r="CG72" s="36">
        <v>9.0557999999999996</v>
      </c>
      <c r="CH72" s="36">
        <v>9.1006999999999998</v>
      </c>
      <c r="CI72" s="49">
        <v>9.5770999999999997</v>
      </c>
      <c r="CJ72" s="45">
        <v>9.8526000000000007</v>
      </c>
      <c r="CK72" s="36">
        <v>9.8163</v>
      </c>
      <c r="CL72" s="36">
        <v>10.238799999999999</v>
      </c>
      <c r="CM72" s="38">
        <v>10.715299999999999</v>
      </c>
      <c r="CN72" s="74">
        <v>10.4162</v>
      </c>
      <c r="CO72" s="54">
        <v>10.443099999999999</v>
      </c>
      <c r="CP72" s="54">
        <v>10.5815</v>
      </c>
      <c r="CQ72" s="54"/>
      <c r="CR72" s="54"/>
      <c r="CS72" s="54"/>
      <c r="CT72" s="54"/>
      <c r="CU72" s="54"/>
      <c r="CV72" s="54"/>
      <c r="CW72" s="54"/>
      <c r="CX72" s="54"/>
      <c r="CY72" s="54"/>
    </row>
    <row r="73" spans="1:103" ht="45" customHeight="1">
      <c r="A73" s="39">
        <v>120</v>
      </c>
      <c r="B73" s="40" t="s">
        <v>251</v>
      </c>
      <c r="C73" s="41" t="s">
        <v>252</v>
      </c>
      <c r="D73" s="41" t="s">
        <v>107</v>
      </c>
      <c r="E73" s="41" t="s">
        <v>117</v>
      </c>
      <c r="F73" s="41" t="s">
        <v>118</v>
      </c>
      <c r="G73" s="42" t="s">
        <v>110</v>
      </c>
      <c r="H73" s="35"/>
      <c r="I73" s="36"/>
      <c r="J73" s="36"/>
      <c r="K73" s="36"/>
      <c r="L73" s="36"/>
      <c r="M73" s="36"/>
      <c r="N73" s="36"/>
      <c r="O73" s="36"/>
      <c r="P73" s="36"/>
      <c r="Q73" s="36"/>
      <c r="R73" s="36"/>
      <c r="S73" s="37"/>
      <c r="T73" s="35"/>
      <c r="U73" s="36"/>
      <c r="V73" s="36"/>
      <c r="W73" s="36"/>
      <c r="X73" s="36"/>
      <c r="Y73" s="36"/>
      <c r="Z73" s="36"/>
      <c r="AA73" s="36"/>
      <c r="AB73" s="36"/>
      <c r="AC73" s="36"/>
      <c r="AD73" s="36"/>
      <c r="AE73" s="37"/>
      <c r="AF73" s="35"/>
      <c r="AG73" s="36"/>
      <c r="AH73" s="36"/>
      <c r="AI73" s="36"/>
      <c r="AJ73" s="36"/>
      <c r="AK73" s="36"/>
      <c r="AL73" s="36"/>
      <c r="AM73" s="36"/>
      <c r="AN73" s="36"/>
      <c r="AO73" s="36"/>
      <c r="AP73" s="36"/>
      <c r="AQ73" s="37"/>
      <c r="AR73" s="35"/>
      <c r="AS73" s="36"/>
      <c r="AT73" s="36"/>
      <c r="AU73" s="36"/>
      <c r="AV73" s="36"/>
      <c r="AW73" s="36"/>
      <c r="AX73" s="36"/>
      <c r="AY73" s="36"/>
      <c r="AZ73" s="36"/>
      <c r="BA73" s="36"/>
      <c r="BB73" s="36"/>
      <c r="BC73" s="37"/>
      <c r="BD73" s="35">
        <v>9.8036999999999992</v>
      </c>
      <c r="BE73" s="36">
        <v>12.5115</v>
      </c>
      <c r="BF73" s="36">
        <v>11.905200000000001</v>
      </c>
      <c r="BG73" s="36">
        <v>12.2628</v>
      </c>
      <c r="BH73" s="36">
        <v>11.3505</v>
      </c>
      <c r="BI73" s="36">
        <v>9.6015999999999995</v>
      </c>
      <c r="BJ73" s="36">
        <v>10.7285</v>
      </c>
      <c r="BK73" s="36">
        <v>10.6929</v>
      </c>
      <c r="BL73" s="36">
        <v>9.4640000000000004</v>
      </c>
      <c r="BM73" s="36">
        <v>9.2841000000000005</v>
      </c>
      <c r="BN73" s="36">
        <v>9.3574999999999999</v>
      </c>
      <c r="BO73" s="37">
        <v>9.5155999999999992</v>
      </c>
      <c r="BP73" s="35">
        <v>9.2529000000000003</v>
      </c>
      <c r="BQ73" s="36">
        <v>9.1265000000000001</v>
      </c>
      <c r="BR73" s="36">
        <v>9.1363859999999999</v>
      </c>
      <c r="BS73" s="36">
        <v>8.8657000000000004</v>
      </c>
      <c r="BT73" s="36">
        <v>10.262600000000001</v>
      </c>
      <c r="BU73" s="36">
        <v>10.158799999999999</v>
      </c>
      <c r="BV73" s="36">
        <v>11.5365</v>
      </c>
      <c r="BW73" s="36">
        <v>11.3163</v>
      </c>
      <c r="BX73" s="36">
        <v>11.257199999999999</v>
      </c>
      <c r="BY73" s="36">
        <v>11.220800000000001</v>
      </c>
      <c r="BZ73" s="36">
        <v>12.223100000000001</v>
      </c>
      <c r="CA73" s="38">
        <v>11.66</v>
      </c>
      <c r="CB73" s="63">
        <v>11.9641</v>
      </c>
      <c r="CC73" s="36">
        <v>13.0837</v>
      </c>
      <c r="CD73" s="45">
        <v>11.3912</v>
      </c>
      <c r="CE73" s="36">
        <v>12.9389</v>
      </c>
      <c r="CF73" s="36">
        <v>14.4993</v>
      </c>
      <c r="CG73" s="36">
        <v>10.136200000000001</v>
      </c>
      <c r="CH73" s="36">
        <v>14.8338</v>
      </c>
      <c r="CI73" s="36">
        <v>16.5093</v>
      </c>
      <c r="CJ73" s="36">
        <v>14.7523</v>
      </c>
      <c r="CK73" s="36">
        <v>13.7254</v>
      </c>
      <c r="CL73" s="36">
        <v>14.641400000000001</v>
      </c>
      <c r="CM73" s="38">
        <v>13.7921</v>
      </c>
      <c r="CN73" s="36">
        <v>13.225099999999999</v>
      </c>
      <c r="CO73" s="36">
        <v>13.976599999999999</v>
      </c>
      <c r="CP73" s="36">
        <v>12.7113</v>
      </c>
      <c r="CQ73" s="36"/>
      <c r="CR73" s="36"/>
      <c r="CS73" s="36"/>
      <c r="CT73" s="36"/>
      <c r="CU73" s="36"/>
      <c r="CV73" s="36"/>
      <c r="CW73" s="36"/>
      <c r="CX73" s="36"/>
      <c r="CY73" s="36"/>
    </row>
    <row r="74" spans="1:103" ht="45" customHeight="1">
      <c r="A74" s="39">
        <v>121</v>
      </c>
      <c r="B74" s="40" t="s">
        <v>253</v>
      </c>
      <c r="C74" s="41" t="s">
        <v>254</v>
      </c>
      <c r="D74" s="41" t="s">
        <v>107</v>
      </c>
      <c r="E74" s="41" t="s">
        <v>117</v>
      </c>
      <c r="F74" s="41" t="s">
        <v>118</v>
      </c>
      <c r="G74" s="42" t="s">
        <v>110</v>
      </c>
      <c r="H74" s="35"/>
      <c r="I74" s="36"/>
      <c r="J74" s="36"/>
      <c r="K74" s="36"/>
      <c r="L74" s="36"/>
      <c r="M74" s="36"/>
      <c r="N74" s="36"/>
      <c r="O74" s="36"/>
      <c r="P74" s="36"/>
      <c r="Q74" s="36"/>
      <c r="R74" s="36"/>
      <c r="S74" s="37"/>
      <c r="T74" s="35"/>
      <c r="U74" s="36"/>
      <c r="V74" s="36"/>
      <c r="W74" s="36"/>
      <c r="X74" s="36"/>
      <c r="Y74" s="36"/>
      <c r="Z74" s="36"/>
      <c r="AA74" s="36"/>
      <c r="AB74" s="36"/>
      <c r="AC74" s="36"/>
      <c r="AD74" s="36"/>
      <c r="AE74" s="37"/>
      <c r="AF74" s="35"/>
      <c r="AG74" s="36"/>
      <c r="AH74" s="36"/>
      <c r="AI74" s="36"/>
      <c r="AJ74" s="36"/>
      <c r="AK74" s="36"/>
      <c r="AL74" s="36"/>
      <c r="AM74" s="36"/>
      <c r="AN74" s="36"/>
      <c r="AO74" s="36"/>
      <c r="AP74" s="36"/>
      <c r="AQ74" s="37"/>
      <c r="AR74" s="35"/>
      <c r="AS74" s="36"/>
      <c r="AT74" s="36"/>
      <c r="AU74" s="36"/>
      <c r="AV74" s="36"/>
      <c r="AW74" s="36"/>
      <c r="AX74" s="36"/>
      <c r="AY74" s="36"/>
      <c r="AZ74" s="36"/>
      <c r="BA74" s="36"/>
      <c r="BB74" s="36"/>
      <c r="BC74" s="37">
        <v>10.9977</v>
      </c>
      <c r="BD74" s="35">
        <v>8.6608000000000001</v>
      </c>
      <c r="BE74" s="36">
        <v>11.1546</v>
      </c>
      <c r="BF74" s="36">
        <v>10.9023</v>
      </c>
      <c r="BG74" s="36">
        <v>11.1159</v>
      </c>
      <c r="BH74" s="36">
        <v>11.344099999999999</v>
      </c>
      <c r="BI74" s="36">
        <v>11.3337</v>
      </c>
      <c r="BJ74" s="36">
        <v>12.061299999999999</v>
      </c>
      <c r="BK74" s="36">
        <v>12.617900000000001</v>
      </c>
      <c r="BL74" s="36">
        <v>14.884399999999999</v>
      </c>
      <c r="BM74" s="36">
        <v>14.7179</v>
      </c>
      <c r="BN74" s="36">
        <v>15.191700000000001</v>
      </c>
      <c r="BO74" s="37">
        <v>15.0799</v>
      </c>
      <c r="BP74" s="35">
        <v>13.636699999999999</v>
      </c>
      <c r="BQ74" s="36">
        <v>12.481999999999999</v>
      </c>
      <c r="BR74" s="47">
        <v>13.220599999999999</v>
      </c>
      <c r="BS74" s="36">
        <v>11.951000000000001</v>
      </c>
      <c r="BT74" s="36">
        <v>12.236000000000001</v>
      </c>
      <c r="BU74" s="36">
        <v>12.419</v>
      </c>
      <c r="BV74" s="36">
        <v>11.127000000000001</v>
      </c>
      <c r="BW74" s="36">
        <v>10.664400000000001</v>
      </c>
      <c r="BX74" s="36">
        <v>10.576499999999999</v>
      </c>
      <c r="BY74" s="36">
        <v>10.95</v>
      </c>
      <c r="BZ74" s="36">
        <v>12.07</v>
      </c>
      <c r="CA74" s="38">
        <v>11.34</v>
      </c>
      <c r="CB74" s="35">
        <v>11.53</v>
      </c>
      <c r="CC74" s="36">
        <v>13.7064</v>
      </c>
      <c r="CD74" s="45">
        <v>12.063800000000001</v>
      </c>
      <c r="CE74" s="36"/>
      <c r="CF74" s="36">
        <v>15.1953</v>
      </c>
      <c r="CG74" s="45">
        <v>9.8503000000000007</v>
      </c>
      <c r="CH74" s="75">
        <v>14.997299999999999</v>
      </c>
      <c r="CI74" s="45">
        <v>13.2103</v>
      </c>
      <c r="CJ74" s="36">
        <v>13.525499999999999</v>
      </c>
      <c r="CK74" s="36">
        <v>12.201599999999999</v>
      </c>
      <c r="CL74" s="36">
        <v>13.042999999999999</v>
      </c>
      <c r="CM74" s="38">
        <v>12.3804</v>
      </c>
      <c r="CN74" s="36">
        <v>11.605499999999999</v>
      </c>
      <c r="CO74" s="36">
        <v>12.1637</v>
      </c>
      <c r="CP74" s="36">
        <v>13.349600000000001</v>
      </c>
      <c r="CQ74" s="36"/>
      <c r="CR74" s="36"/>
      <c r="CS74" s="36"/>
      <c r="CT74" s="36"/>
      <c r="CU74" s="36"/>
      <c r="CV74" s="36"/>
      <c r="CW74" s="36"/>
      <c r="CX74" s="36"/>
      <c r="CY74" s="36"/>
    </row>
    <row r="75" spans="1:103" ht="45" customHeight="1">
      <c r="A75" s="39">
        <v>122</v>
      </c>
      <c r="B75" s="40" t="s">
        <v>255</v>
      </c>
      <c r="C75" s="41" t="s">
        <v>256</v>
      </c>
      <c r="D75" s="41" t="s">
        <v>107</v>
      </c>
      <c r="E75" s="41" t="s">
        <v>117</v>
      </c>
      <c r="F75" s="41" t="s">
        <v>118</v>
      </c>
      <c r="G75" s="42" t="s">
        <v>110</v>
      </c>
      <c r="H75" s="35">
        <v>8.2523</v>
      </c>
      <c r="I75" s="36">
        <v>8.0101999999999993</v>
      </c>
      <c r="J75" s="36">
        <v>8.532</v>
      </c>
      <c r="K75" s="36">
        <v>9.1259999999999994</v>
      </c>
      <c r="L75" s="36">
        <v>9.1714000000000002</v>
      </c>
      <c r="M75" s="36">
        <v>8.5744000000000007</v>
      </c>
      <c r="N75" s="36">
        <v>8.6295999999999999</v>
      </c>
      <c r="O75" s="36">
        <v>8.7096999999999998</v>
      </c>
      <c r="P75" s="36">
        <v>8.6420999999999992</v>
      </c>
      <c r="Q75" s="36">
        <v>8.8320000000000007</v>
      </c>
      <c r="R75" s="36">
        <v>8.4108999999999998</v>
      </c>
      <c r="S75" s="37">
        <v>8.4163999999999994</v>
      </c>
      <c r="T75" s="35">
        <v>8.4738000000000007</v>
      </c>
      <c r="U75" s="36">
        <v>8.4605999999999995</v>
      </c>
      <c r="V75" s="36">
        <v>8.6430000000000007</v>
      </c>
      <c r="W75" s="36">
        <v>8.5808</v>
      </c>
      <c r="X75" s="36">
        <v>9.1318999999999999</v>
      </c>
      <c r="Y75" s="36">
        <v>8.7787000000000006</v>
      </c>
      <c r="Z75" s="36">
        <v>9.3056999999999999</v>
      </c>
      <c r="AA75" s="36">
        <v>8.2359000000000009</v>
      </c>
      <c r="AB75" s="36">
        <v>7.4701000000000004</v>
      </c>
      <c r="AC75" s="36">
        <v>7.4650999999999996</v>
      </c>
      <c r="AD75" s="36">
        <v>7.9539999999999997</v>
      </c>
      <c r="AE75" s="37">
        <v>8.6080000000000005</v>
      </c>
      <c r="AF75" s="35">
        <v>8.0949000000000009</v>
      </c>
      <c r="AG75" s="36">
        <v>7.5715000000000003</v>
      </c>
      <c r="AH75" s="36">
        <v>7.7655000000000003</v>
      </c>
      <c r="AI75" s="36">
        <v>7.2446000000000002</v>
      </c>
      <c r="AJ75" s="36">
        <v>6.9340999999999999</v>
      </c>
      <c r="AK75" s="36">
        <v>6.8971</v>
      </c>
      <c r="AL75" s="36">
        <v>7.1914999999999996</v>
      </c>
      <c r="AM75" s="36">
        <v>6.7266000000000004</v>
      </c>
      <c r="AN75" s="36">
        <v>6.7782999999999998</v>
      </c>
      <c r="AO75" s="36">
        <v>7.4008000000000003</v>
      </c>
      <c r="AP75" s="36">
        <v>7.0911999999999997</v>
      </c>
      <c r="AQ75" s="37">
        <v>6.9733999999999998</v>
      </c>
      <c r="AR75" s="35">
        <v>6.8895999999999997</v>
      </c>
      <c r="AS75" s="36">
        <v>7.2859999999999996</v>
      </c>
      <c r="AT75" s="36">
        <v>7.4623999999999997</v>
      </c>
      <c r="AU75" s="36">
        <v>7.9806999999999997</v>
      </c>
      <c r="AV75" s="36">
        <v>7.5679999999999996</v>
      </c>
      <c r="AW75" s="36">
        <v>9.2805</v>
      </c>
      <c r="AX75" s="36">
        <v>8.9753000000000007</v>
      </c>
      <c r="AY75" s="36">
        <v>9.2567000000000004</v>
      </c>
      <c r="AZ75" s="36">
        <v>9.3834999999999997</v>
      </c>
      <c r="BA75" s="36">
        <v>7.7107999999999999</v>
      </c>
      <c r="BB75" s="36">
        <v>8.4909999999999997</v>
      </c>
      <c r="BC75" s="37">
        <v>7.7239000000000004</v>
      </c>
      <c r="BD75" s="35">
        <v>7.9593999999999996</v>
      </c>
      <c r="BE75" s="36">
        <v>9.6343999999999994</v>
      </c>
      <c r="BF75" s="36">
        <v>9.8073999999999995</v>
      </c>
      <c r="BG75" s="36">
        <v>10.0928</v>
      </c>
      <c r="BH75" s="36">
        <v>9.7494999999999994</v>
      </c>
      <c r="BI75" s="36">
        <v>9.7495999999999992</v>
      </c>
      <c r="BJ75" s="36">
        <v>11.2814</v>
      </c>
      <c r="BK75" s="36">
        <v>12.012700000000001</v>
      </c>
      <c r="BL75" s="36">
        <v>12.0487</v>
      </c>
      <c r="BM75" s="36">
        <v>11.5509</v>
      </c>
      <c r="BN75" s="36">
        <v>12.1081</v>
      </c>
      <c r="BO75" s="37">
        <v>11.1523</v>
      </c>
      <c r="BP75" s="35">
        <v>9.1503999999999994</v>
      </c>
      <c r="BQ75" s="36">
        <v>8.5280000000000005</v>
      </c>
      <c r="BR75" s="47">
        <v>9.0593000000000004</v>
      </c>
      <c r="BS75" s="47">
        <v>8.4443000000000001</v>
      </c>
      <c r="BT75" s="47">
        <v>8.9435000000000002</v>
      </c>
      <c r="BU75" s="47">
        <v>9.2293000000000003</v>
      </c>
      <c r="BV75" s="47">
        <v>10.408799999999999</v>
      </c>
      <c r="BW75" s="47">
        <v>10.0451</v>
      </c>
      <c r="BX75" s="36">
        <v>10.0023</v>
      </c>
      <c r="BY75" s="47">
        <v>10.434799999999999</v>
      </c>
      <c r="BZ75" s="47">
        <v>11.3407</v>
      </c>
      <c r="CA75" s="76">
        <v>9.6920000000000002</v>
      </c>
      <c r="CB75" s="77">
        <v>9.6913</v>
      </c>
      <c r="CC75" s="47">
        <v>12.9282</v>
      </c>
      <c r="CD75" s="72">
        <v>10.238300000000001</v>
      </c>
      <c r="CE75" s="72">
        <v>10.954000000000001</v>
      </c>
      <c r="CF75" s="47">
        <v>14.070399999999999</v>
      </c>
      <c r="CG75" s="78">
        <v>11.863</v>
      </c>
      <c r="CH75" s="78">
        <v>12.269299999999999</v>
      </c>
      <c r="CI75" s="72">
        <v>10.9344</v>
      </c>
      <c r="CJ75" s="72">
        <v>11.749499999999999</v>
      </c>
      <c r="CK75" s="78">
        <v>11.1082</v>
      </c>
      <c r="CL75" s="78">
        <v>12.201000000000001</v>
      </c>
      <c r="CM75" s="79">
        <v>11.083399999999999</v>
      </c>
      <c r="CN75" s="47">
        <v>7.2953000000000001</v>
      </c>
      <c r="CO75" s="78">
        <v>11.719200000000001</v>
      </c>
      <c r="CP75" s="78">
        <v>10.893599999999999</v>
      </c>
      <c r="CQ75" s="78">
        <v>12.2471</v>
      </c>
      <c r="CR75" s="78"/>
      <c r="CS75" s="78"/>
      <c r="CT75" s="78"/>
      <c r="CU75" s="78"/>
      <c r="CV75" s="78"/>
      <c r="CW75" s="78"/>
      <c r="CX75" s="78"/>
      <c r="CY75" s="78"/>
    </row>
    <row r="76" spans="1:103" ht="45" customHeight="1">
      <c r="A76" s="39">
        <v>69</v>
      </c>
      <c r="B76" s="40" t="s">
        <v>257</v>
      </c>
      <c r="C76" s="41" t="s">
        <v>258</v>
      </c>
      <c r="D76" s="41" t="s">
        <v>107</v>
      </c>
      <c r="E76" s="41" t="s">
        <v>166</v>
      </c>
      <c r="F76" s="41" t="s">
        <v>125</v>
      </c>
      <c r="G76" s="42" t="s">
        <v>114</v>
      </c>
      <c r="H76" s="35"/>
      <c r="I76" s="36"/>
      <c r="J76" s="36"/>
      <c r="K76" s="36"/>
      <c r="L76" s="36"/>
      <c r="M76" s="36"/>
      <c r="N76" s="36"/>
      <c r="O76" s="36"/>
      <c r="P76" s="36"/>
      <c r="Q76" s="36"/>
      <c r="R76" s="36"/>
      <c r="S76" s="37"/>
      <c r="T76" s="35"/>
      <c r="U76" s="36"/>
      <c r="V76" s="36"/>
      <c r="W76" s="36"/>
      <c r="X76" s="36"/>
      <c r="Y76" s="36"/>
      <c r="Z76" s="36"/>
      <c r="AA76" s="36"/>
      <c r="AB76" s="36"/>
      <c r="AC76" s="36"/>
      <c r="AD76" s="36"/>
      <c r="AE76" s="37"/>
      <c r="AF76" s="35"/>
      <c r="AG76" s="36"/>
      <c r="AH76" s="36"/>
      <c r="AI76" s="36"/>
      <c r="AJ76" s="36"/>
      <c r="AK76" s="36"/>
      <c r="AL76" s="36"/>
      <c r="AM76" s="36"/>
      <c r="AN76" s="36"/>
      <c r="AO76" s="36"/>
      <c r="AP76" s="36"/>
      <c r="AQ76" s="37"/>
      <c r="AR76" s="35"/>
      <c r="AS76" s="36"/>
      <c r="AT76" s="36"/>
      <c r="AU76" s="36"/>
      <c r="AV76" s="36"/>
      <c r="AW76" s="36"/>
      <c r="AX76" s="36"/>
      <c r="AY76" s="36"/>
      <c r="AZ76" s="36"/>
      <c r="BA76" s="36"/>
      <c r="BB76" s="36"/>
      <c r="BC76" s="37"/>
      <c r="BD76" s="35">
        <v>12.15</v>
      </c>
      <c r="BE76" s="36">
        <v>12.03</v>
      </c>
      <c r="BF76" s="36">
        <v>11.79</v>
      </c>
      <c r="BG76" s="36">
        <v>12.21</v>
      </c>
      <c r="BH76" s="36">
        <v>11.78</v>
      </c>
      <c r="BI76" s="36">
        <v>11.68</v>
      </c>
      <c r="BJ76" s="36">
        <v>11.13</v>
      </c>
      <c r="BK76" s="36">
        <v>11.84</v>
      </c>
      <c r="BL76" s="36">
        <v>11.69</v>
      </c>
      <c r="BM76" s="36">
        <v>11.29</v>
      </c>
      <c r="BN76" s="36">
        <v>11.49</v>
      </c>
      <c r="BO76" s="37">
        <v>11.79</v>
      </c>
      <c r="BP76" s="35">
        <v>11.78</v>
      </c>
      <c r="BQ76" s="36">
        <v>12.78</v>
      </c>
      <c r="BR76" s="47">
        <v>12.47</v>
      </c>
      <c r="BS76" s="36">
        <v>12.52</v>
      </c>
      <c r="BT76" s="36">
        <v>12.01</v>
      </c>
      <c r="BU76" s="36">
        <v>12.5</v>
      </c>
      <c r="BV76" s="36">
        <v>11.78</v>
      </c>
      <c r="BW76" s="36">
        <v>11.89</v>
      </c>
      <c r="BX76" s="36">
        <v>11.5</v>
      </c>
      <c r="BY76" s="36">
        <v>11.39</v>
      </c>
      <c r="BZ76" s="36">
        <v>11.4</v>
      </c>
      <c r="CA76" s="38">
        <v>11.07</v>
      </c>
      <c r="CB76" s="52">
        <v>11.18</v>
      </c>
      <c r="CC76" s="45">
        <v>11.67</v>
      </c>
      <c r="CD76" s="44">
        <v>11.47</v>
      </c>
      <c r="CE76" s="45">
        <v>11.36</v>
      </c>
      <c r="CF76" s="45">
        <v>12.37</v>
      </c>
      <c r="CG76" s="36">
        <v>10.28</v>
      </c>
      <c r="CH76" s="45">
        <v>11.57</v>
      </c>
      <c r="CI76" s="45">
        <v>12.53</v>
      </c>
      <c r="CJ76" s="45">
        <v>11.55</v>
      </c>
      <c r="CK76" s="45">
        <v>10.65</v>
      </c>
      <c r="CL76" s="45">
        <v>11.22</v>
      </c>
      <c r="CM76" s="50">
        <v>11.36</v>
      </c>
      <c r="CN76" s="80">
        <v>11.27</v>
      </c>
      <c r="CO76" s="80">
        <v>10.9018</v>
      </c>
      <c r="CP76" s="80">
        <v>11.066800000000001</v>
      </c>
      <c r="CQ76" s="80"/>
      <c r="CR76" s="80"/>
      <c r="CS76" s="80"/>
      <c r="CT76" s="80"/>
      <c r="CU76" s="80"/>
      <c r="CV76" s="80"/>
      <c r="CW76" s="80"/>
      <c r="CX76" s="80"/>
      <c r="CY76" s="80"/>
    </row>
    <row r="77" spans="1:103" ht="45" customHeight="1">
      <c r="A77" s="39">
        <v>37</v>
      </c>
      <c r="B77" s="40" t="s">
        <v>259</v>
      </c>
      <c r="C77" s="41" t="s">
        <v>260</v>
      </c>
      <c r="D77" s="41" t="s">
        <v>107</v>
      </c>
      <c r="E77" s="41" t="s">
        <v>203</v>
      </c>
      <c r="F77" s="41" t="s">
        <v>109</v>
      </c>
      <c r="G77" s="42" t="s">
        <v>110</v>
      </c>
      <c r="H77" s="35"/>
      <c r="I77" s="36"/>
      <c r="J77" s="36"/>
      <c r="K77" s="36"/>
      <c r="L77" s="36"/>
      <c r="M77" s="36"/>
      <c r="N77" s="36"/>
      <c r="O77" s="36"/>
      <c r="P77" s="36"/>
      <c r="Q77" s="36"/>
      <c r="R77" s="36"/>
      <c r="S77" s="37"/>
      <c r="T77" s="35"/>
      <c r="U77" s="36"/>
      <c r="V77" s="36"/>
      <c r="W77" s="36"/>
      <c r="X77" s="36"/>
      <c r="Y77" s="36"/>
      <c r="Z77" s="36"/>
      <c r="AA77" s="36"/>
      <c r="AB77" s="36"/>
      <c r="AC77" s="36"/>
      <c r="AD77" s="36"/>
      <c r="AE77" s="37"/>
      <c r="AF77" s="35"/>
      <c r="AG77" s="36"/>
      <c r="AH77" s="36"/>
      <c r="AI77" s="36"/>
      <c r="AJ77" s="36"/>
      <c r="AK77" s="36"/>
      <c r="AL77" s="36"/>
      <c r="AM77" s="36"/>
      <c r="AN77" s="36"/>
      <c r="AO77" s="36"/>
      <c r="AP77" s="36"/>
      <c r="AQ77" s="37"/>
      <c r="AR77" s="35">
        <v>8.9368999999999996</v>
      </c>
      <c r="AS77" s="36">
        <v>9.0326000000000004</v>
      </c>
      <c r="AT77" s="36">
        <v>10.008100000000001</v>
      </c>
      <c r="AU77" s="36">
        <v>8.5777999999999999</v>
      </c>
      <c r="AV77" s="36">
        <v>8.3428000000000004</v>
      </c>
      <c r="AW77" s="36">
        <v>7.7819000000000003</v>
      </c>
      <c r="AX77" s="36">
        <v>8.6751000000000005</v>
      </c>
      <c r="AY77" s="36">
        <v>9.8504000000000005</v>
      </c>
      <c r="AZ77" s="36">
        <v>9.5685000000000002</v>
      </c>
      <c r="BA77" s="36">
        <v>9.7776999999999994</v>
      </c>
      <c r="BB77" s="36">
        <v>10.470499999999999</v>
      </c>
      <c r="BC77" s="37">
        <v>11.2986</v>
      </c>
      <c r="BD77" s="35">
        <v>12.7538</v>
      </c>
      <c r="BE77" s="36">
        <v>11.398199999999999</v>
      </c>
      <c r="BF77" s="36">
        <v>12.5145</v>
      </c>
      <c r="BG77" s="36">
        <v>12.3127</v>
      </c>
      <c r="BH77" s="36">
        <v>14.1843</v>
      </c>
      <c r="BI77" s="36">
        <v>14.309699999999999</v>
      </c>
      <c r="BJ77" s="36">
        <v>16.766999999999999</v>
      </c>
      <c r="BK77" s="36">
        <v>15.7256</v>
      </c>
      <c r="BL77" s="36">
        <v>15.639900000000001</v>
      </c>
      <c r="BM77" s="36">
        <v>17.896599999999999</v>
      </c>
      <c r="BN77" s="36">
        <v>15.5106</v>
      </c>
      <c r="BO77" s="37">
        <v>12.977</v>
      </c>
      <c r="BP77" s="35">
        <v>12.7182</v>
      </c>
      <c r="BQ77" s="36">
        <v>13.006</v>
      </c>
      <c r="BR77" s="47">
        <v>13.504300000000001</v>
      </c>
      <c r="BS77" s="36">
        <v>12.6031</v>
      </c>
      <c r="BT77" s="36">
        <v>12.7355</v>
      </c>
      <c r="BU77" s="36">
        <f>14.7313-1.4618</f>
        <v>13.269499999999999</v>
      </c>
      <c r="BV77" s="36">
        <f>14.8927-1.5145</f>
        <v>13.3782</v>
      </c>
      <c r="BW77" s="36">
        <f>14.7368-1.4977</f>
        <v>13.239100000000001</v>
      </c>
      <c r="BX77" s="36">
        <v>10.383100000000001</v>
      </c>
      <c r="BY77" s="36">
        <f>10.9955-1.1686</f>
        <v>9.8269000000000002</v>
      </c>
      <c r="BZ77" s="36">
        <v>11.409000000000001</v>
      </c>
      <c r="CA77" s="38">
        <v>10.77</v>
      </c>
      <c r="CB77" s="43">
        <v>8.8636999999999997</v>
      </c>
      <c r="CC77" s="44">
        <v>10.576700000000001</v>
      </c>
      <c r="CD77" s="45">
        <v>9.7314000000000007</v>
      </c>
      <c r="CE77" s="44">
        <v>9.4160000000000004</v>
      </c>
      <c r="CF77" s="44">
        <v>8.5564</v>
      </c>
      <c r="CG77" s="36">
        <v>8.8783999999999992</v>
      </c>
      <c r="CH77" s="36">
        <v>8.8231000000000002</v>
      </c>
      <c r="CI77" s="44">
        <v>8.9002999999999997</v>
      </c>
      <c r="CJ77" s="44">
        <v>9.0085999999999995</v>
      </c>
      <c r="CK77" s="44">
        <v>8.8782999999999994</v>
      </c>
      <c r="CL77" s="44">
        <v>8.8069000000000006</v>
      </c>
      <c r="CM77" s="46">
        <v>8.0338999999999992</v>
      </c>
      <c r="CN77" s="44">
        <v>7.8228999999999997</v>
      </c>
      <c r="CO77" s="44">
        <v>8.5357000000000003</v>
      </c>
      <c r="CP77" s="44">
        <v>8.9734999999999996</v>
      </c>
      <c r="CQ77" s="44"/>
      <c r="CR77" s="44"/>
      <c r="CS77" s="44"/>
      <c r="CT77" s="44"/>
      <c r="CU77" s="44"/>
      <c r="CV77" s="44"/>
      <c r="CW77" s="44"/>
      <c r="CX77" s="44"/>
      <c r="CY77" s="44"/>
    </row>
    <row r="78" spans="1:103" ht="45" customHeight="1">
      <c r="A78" s="39">
        <v>23</v>
      </c>
      <c r="B78" s="40" t="s">
        <v>261</v>
      </c>
      <c r="C78" s="41" t="s">
        <v>262</v>
      </c>
      <c r="D78" s="41" t="s">
        <v>107</v>
      </c>
      <c r="E78" s="41" t="s">
        <v>203</v>
      </c>
      <c r="F78" s="41" t="s">
        <v>109</v>
      </c>
      <c r="G78" s="42" t="s">
        <v>110</v>
      </c>
      <c r="H78" s="35">
        <v>9.6738</v>
      </c>
      <c r="I78" s="36">
        <v>9.7341999999999995</v>
      </c>
      <c r="J78" s="36">
        <v>10.478899999999999</v>
      </c>
      <c r="K78" s="36">
        <v>10.860200000000001</v>
      </c>
      <c r="L78" s="36">
        <v>10.0732</v>
      </c>
      <c r="M78" s="36">
        <v>9.8600999999999992</v>
      </c>
      <c r="N78" s="36">
        <v>10.3307</v>
      </c>
      <c r="O78" s="36">
        <v>10.3695</v>
      </c>
      <c r="P78" s="36">
        <v>10.097</v>
      </c>
      <c r="Q78" s="36">
        <v>10.5098</v>
      </c>
      <c r="R78" s="36">
        <v>10.8134</v>
      </c>
      <c r="S78" s="37">
        <v>9.6738</v>
      </c>
      <c r="T78" s="35">
        <v>9.8693000000000008</v>
      </c>
      <c r="U78" s="36">
        <v>10.138199999999999</v>
      </c>
      <c r="V78" s="36">
        <v>10.136100000000001</v>
      </c>
      <c r="W78" s="36">
        <v>10.635199999999999</v>
      </c>
      <c r="X78" s="36">
        <v>11.148199999999999</v>
      </c>
      <c r="Y78" s="36">
        <v>10.521000000000001</v>
      </c>
      <c r="Z78" s="36">
        <v>10.473800000000001</v>
      </c>
      <c r="AA78" s="36">
        <v>10.238200000000001</v>
      </c>
      <c r="AB78" s="36">
        <v>10.7424</v>
      </c>
      <c r="AC78" s="36">
        <v>9.9785000000000004</v>
      </c>
      <c r="AD78" s="36">
        <v>9.4987999999999992</v>
      </c>
      <c r="AE78" s="37">
        <v>9.4540000000000006</v>
      </c>
      <c r="AF78" s="35">
        <v>9.1615000000000002</v>
      </c>
      <c r="AG78" s="36">
        <v>8.2545000000000002</v>
      </c>
      <c r="AH78" s="36">
        <v>8.1814999999999998</v>
      </c>
      <c r="AI78" s="36">
        <v>8.5897000000000006</v>
      </c>
      <c r="AJ78" s="36">
        <v>9.6416000000000004</v>
      </c>
      <c r="AK78" s="36">
        <v>8.4568999999999992</v>
      </c>
      <c r="AL78" s="36">
        <v>8.1340000000000003</v>
      </c>
      <c r="AM78" s="36">
        <v>7.8186999999999998</v>
      </c>
      <c r="AN78" s="36">
        <v>7.4326999999999996</v>
      </c>
      <c r="AO78" s="36">
        <v>7.9714999999999998</v>
      </c>
      <c r="AP78" s="36">
        <v>7.7801999999999998</v>
      </c>
      <c r="AQ78" s="37">
        <v>7.8040000000000003</v>
      </c>
      <c r="AR78" s="35">
        <v>7.8529</v>
      </c>
      <c r="AS78" s="36">
        <v>7.9520999999999997</v>
      </c>
      <c r="AT78" s="36">
        <v>7.99</v>
      </c>
      <c r="AU78" s="36">
        <v>8.2882999999999996</v>
      </c>
      <c r="AV78" s="36">
        <v>8.4819999999999993</v>
      </c>
      <c r="AW78" s="36">
        <v>8.9826999999999995</v>
      </c>
      <c r="AX78" s="36">
        <v>8.9633000000000003</v>
      </c>
      <c r="AY78" s="36">
        <v>9.2774999999999999</v>
      </c>
      <c r="AZ78" s="36">
        <v>9.0798000000000005</v>
      </c>
      <c r="BA78" s="36">
        <v>9.8093000000000004</v>
      </c>
      <c r="BB78" s="36">
        <v>10.2338</v>
      </c>
      <c r="BC78" s="37">
        <v>10.558299999999999</v>
      </c>
      <c r="BD78" s="35">
        <v>13.1198</v>
      </c>
      <c r="BE78" s="36">
        <v>13.356400000000001</v>
      </c>
      <c r="BF78" s="36">
        <v>12.633800000000001</v>
      </c>
      <c r="BG78" s="36">
        <v>13.081200000000001</v>
      </c>
      <c r="BH78" s="36"/>
      <c r="BI78" s="36">
        <v>14.625500000000001</v>
      </c>
      <c r="BJ78" s="36">
        <v>16.119199999999999</v>
      </c>
      <c r="BK78" s="36">
        <v>15.8247</v>
      </c>
      <c r="BL78" s="36">
        <v>16.113</v>
      </c>
      <c r="BM78" s="36">
        <v>17.598700000000001</v>
      </c>
      <c r="BN78" s="36">
        <v>17.1296</v>
      </c>
      <c r="BO78" s="37">
        <v>14.901999999999999</v>
      </c>
      <c r="BP78" s="35">
        <v>13.657</v>
      </c>
      <c r="BQ78" s="36">
        <v>13.5532</v>
      </c>
      <c r="BR78" s="47">
        <v>15.5762</v>
      </c>
      <c r="BS78" s="36">
        <v>13.988799999999999</v>
      </c>
      <c r="BT78" s="36">
        <v>14.7584</v>
      </c>
      <c r="BU78" s="36">
        <v>11.5298</v>
      </c>
      <c r="BV78" s="36">
        <v>10.970800000000001</v>
      </c>
      <c r="BW78" s="36">
        <v>9.9783000000000008</v>
      </c>
      <c r="BX78" s="36">
        <v>6.8455000000000004</v>
      </c>
      <c r="BY78" s="36">
        <v>9.6864000000000008</v>
      </c>
      <c r="BZ78" s="36">
        <v>9.7829999999999995</v>
      </c>
      <c r="CA78" s="38">
        <v>8.9619999999999997</v>
      </c>
      <c r="CB78" s="48">
        <v>9.0341000000000005</v>
      </c>
      <c r="CC78" s="51">
        <v>7.9032</v>
      </c>
      <c r="CD78" s="45">
        <v>8.1597000000000008</v>
      </c>
      <c r="CE78" s="45">
        <v>9.4433000000000007</v>
      </c>
      <c r="CF78" s="45">
        <v>9.8904999999999994</v>
      </c>
      <c r="CG78" s="45">
        <v>8.4405000000000001</v>
      </c>
      <c r="CH78" s="45">
        <v>10.621600000000001</v>
      </c>
      <c r="CI78" s="36">
        <v>11.802</v>
      </c>
      <c r="CJ78" s="36">
        <v>10.9495</v>
      </c>
      <c r="CK78" s="45">
        <v>9.6359999999999992</v>
      </c>
      <c r="CL78" s="45">
        <v>9.8541000000000007</v>
      </c>
      <c r="CM78" s="50">
        <v>10.15</v>
      </c>
      <c r="CN78" s="45">
        <v>9.6614000000000004</v>
      </c>
      <c r="CO78" s="45">
        <v>10.318300000000001</v>
      </c>
      <c r="CP78" s="45">
        <v>8.2468000000000004</v>
      </c>
      <c r="CQ78" s="45"/>
      <c r="CR78" s="45"/>
      <c r="CS78" s="45"/>
      <c r="CT78" s="45"/>
      <c r="CU78" s="45"/>
      <c r="CV78" s="45"/>
      <c r="CW78" s="45"/>
      <c r="CX78" s="45"/>
      <c r="CY78" s="45"/>
    </row>
    <row r="79" spans="1:103" ht="45" customHeight="1">
      <c r="A79" s="39">
        <v>123</v>
      </c>
      <c r="B79" s="40" t="s">
        <v>263</v>
      </c>
      <c r="C79" s="41" t="s">
        <v>264</v>
      </c>
      <c r="D79" s="41" t="s">
        <v>107</v>
      </c>
      <c r="E79" s="41" t="s">
        <v>141</v>
      </c>
      <c r="F79" s="41" t="s">
        <v>109</v>
      </c>
      <c r="G79" s="42" t="s">
        <v>110</v>
      </c>
      <c r="H79" s="35"/>
      <c r="I79" s="36"/>
      <c r="J79" s="36"/>
      <c r="K79" s="36"/>
      <c r="L79" s="36"/>
      <c r="M79" s="36"/>
      <c r="N79" s="36"/>
      <c r="O79" s="36"/>
      <c r="P79" s="36"/>
      <c r="Q79" s="36"/>
      <c r="R79" s="36"/>
      <c r="S79" s="37"/>
      <c r="T79" s="35"/>
      <c r="U79" s="36"/>
      <c r="V79" s="36"/>
      <c r="W79" s="36"/>
      <c r="X79" s="36"/>
      <c r="Y79" s="36"/>
      <c r="Z79" s="36"/>
      <c r="AA79" s="36"/>
      <c r="AB79" s="36"/>
      <c r="AC79" s="36"/>
      <c r="AD79" s="36"/>
      <c r="AE79" s="37"/>
      <c r="AF79" s="35"/>
      <c r="AG79" s="36"/>
      <c r="AH79" s="36"/>
      <c r="AI79" s="36"/>
      <c r="AJ79" s="36"/>
      <c r="AK79" s="36"/>
      <c r="AL79" s="36"/>
      <c r="AM79" s="36"/>
      <c r="AN79" s="36"/>
      <c r="AO79" s="36"/>
      <c r="AP79" s="36"/>
      <c r="AQ79" s="37"/>
      <c r="AR79" s="35"/>
      <c r="AS79" s="36"/>
      <c r="AT79" s="36"/>
      <c r="AU79" s="36"/>
      <c r="AV79" s="36"/>
      <c r="AW79" s="36"/>
      <c r="AX79" s="36"/>
      <c r="AY79" s="36"/>
      <c r="AZ79" s="36"/>
      <c r="BA79" s="36"/>
      <c r="BB79" s="36"/>
      <c r="BC79" s="37"/>
      <c r="BD79" s="35">
        <v>11.581200000000001</v>
      </c>
      <c r="BE79" s="36">
        <v>11.038600000000001</v>
      </c>
      <c r="BF79" s="36">
        <v>14.953799999999999</v>
      </c>
      <c r="BG79" s="36">
        <v>11.526199999999999</v>
      </c>
      <c r="BH79" s="36">
        <v>13.128399999999999</v>
      </c>
      <c r="BI79" s="36">
        <v>12.8848</v>
      </c>
      <c r="BJ79" s="36">
        <v>14.712999999999999</v>
      </c>
      <c r="BK79" s="36">
        <v>15.556800000000001</v>
      </c>
      <c r="BL79" s="36">
        <v>14.034599999999999</v>
      </c>
      <c r="BM79" s="36">
        <v>12.184900000000001</v>
      </c>
      <c r="BN79" s="36">
        <v>13.5617</v>
      </c>
      <c r="BO79" s="37">
        <v>14.522399999999999</v>
      </c>
      <c r="BP79" s="35">
        <v>14.9199</v>
      </c>
      <c r="BQ79" s="36">
        <v>14.1363</v>
      </c>
      <c r="BR79" s="36">
        <v>13.5717</v>
      </c>
      <c r="BS79" s="36">
        <v>12.9482</v>
      </c>
      <c r="BT79" s="36">
        <v>11.9506</v>
      </c>
      <c r="BU79" s="36">
        <v>12.6701</v>
      </c>
      <c r="BV79" s="36">
        <v>10.843299999999999</v>
      </c>
      <c r="BW79" s="36">
        <v>9.9535</v>
      </c>
      <c r="BX79" s="36">
        <v>7.0346000000000002</v>
      </c>
      <c r="BY79" s="36">
        <v>8.4481999999999999</v>
      </c>
      <c r="BZ79" s="36">
        <v>11.213200000000001</v>
      </c>
      <c r="CA79" s="38">
        <v>9.6758000000000006</v>
      </c>
      <c r="CB79" s="52">
        <v>10.107200000000001</v>
      </c>
      <c r="CC79" s="45">
        <v>10.1119</v>
      </c>
      <c r="CD79" s="45">
        <v>10.643700000000001</v>
      </c>
      <c r="CE79" s="45">
        <v>10.7441</v>
      </c>
      <c r="CF79" s="44">
        <v>11.741199999999999</v>
      </c>
      <c r="CG79" s="36">
        <v>12.155099999999999</v>
      </c>
      <c r="CH79" s="45">
        <v>11.0939</v>
      </c>
      <c r="CI79" s="45">
        <v>11.436299999999999</v>
      </c>
      <c r="CJ79" s="45">
        <v>11.7827</v>
      </c>
      <c r="CK79" s="45">
        <v>9.3397000000000006</v>
      </c>
      <c r="CL79" s="45">
        <v>9.6823999999999995</v>
      </c>
      <c r="CM79" s="50">
        <v>8.7227999999999994</v>
      </c>
      <c r="CN79" s="45">
        <v>7.6976000000000004</v>
      </c>
      <c r="CO79" s="45">
        <v>5.2808999999999999</v>
      </c>
      <c r="CP79" s="45">
        <v>7.2647000000000004</v>
      </c>
      <c r="CQ79" s="45"/>
      <c r="CR79" s="45"/>
      <c r="CS79" s="45"/>
      <c r="CT79" s="45"/>
      <c r="CU79" s="45"/>
      <c r="CV79" s="45"/>
      <c r="CW79" s="45"/>
      <c r="CX79" s="45"/>
      <c r="CY79" s="45"/>
    </row>
    <row r="80" spans="1:103" ht="45" customHeight="1">
      <c r="A80" s="39">
        <v>46</v>
      </c>
      <c r="B80" s="40" t="s">
        <v>265</v>
      </c>
      <c r="C80" s="41" t="s">
        <v>266</v>
      </c>
      <c r="D80" s="41" t="s">
        <v>107</v>
      </c>
      <c r="E80" s="41" t="s">
        <v>141</v>
      </c>
      <c r="F80" s="41" t="s">
        <v>109</v>
      </c>
      <c r="G80" s="42" t="s">
        <v>110</v>
      </c>
      <c r="H80" s="35"/>
      <c r="I80" s="36"/>
      <c r="J80" s="36"/>
      <c r="K80" s="36"/>
      <c r="L80" s="36"/>
      <c r="M80" s="36"/>
      <c r="N80" s="36"/>
      <c r="O80" s="36"/>
      <c r="P80" s="36"/>
      <c r="Q80" s="36"/>
      <c r="R80" s="36"/>
      <c r="S80" s="37"/>
      <c r="T80" s="35"/>
      <c r="U80" s="36"/>
      <c r="V80" s="36"/>
      <c r="W80" s="36"/>
      <c r="X80" s="36"/>
      <c r="Y80" s="36"/>
      <c r="Z80" s="36"/>
      <c r="AA80" s="36"/>
      <c r="AB80" s="36"/>
      <c r="AC80" s="36"/>
      <c r="AD80" s="36"/>
      <c r="AE80" s="37"/>
      <c r="AF80" s="35"/>
      <c r="AG80" s="36"/>
      <c r="AH80" s="36"/>
      <c r="AI80" s="36"/>
      <c r="AJ80" s="36"/>
      <c r="AK80" s="36"/>
      <c r="AL80" s="36"/>
      <c r="AM80" s="36"/>
      <c r="AN80" s="36"/>
      <c r="AO80" s="36"/>
      <c r="AP80" s="36"/>
      <c r="AQ80" s="37"/>
      <c r="AR80" s="35"/>
      <c r="AS80" s="36"/>
      <c r="AT80" s="36"/>
      <c r="AU80" s="36"/>
      <c r="AV80" s="36"/>
      <c r="AW80" s="36"/>
      <c r="AX80" s="36"/>
      <c r="AY80" s="36"/>
      <c r="AZ80" s="36"/>
      <c r="BA80" s="36"/>
      <c r="BB80" s="36"/>
      <c r="BC80" s="37"/>
      <c r="BD80" s="35">
        <v>13.508800000000001</v>
      </c>
      <c r="BE80" s="36">
        <v>12.9038</v>
      </c>
      <c r="BF80" s="36">
        <v>13.9678</v>
      </c>
      <c r="BG80" s="36">
        <v>14.116899999999999</v>
      </c>
      <c r="BH80" s="36">
        <v>15.3476</v>
      </c>
      <c r="BI80" s="36">
        <v>14.667999999999999</v>
      </c>
      <c r="BJ80" s="36">
        <v>15.939</v>
      </c>
      <c r="BK80" s="36">
        <v>16.777100000000001</v>
      </c>
      <c r="BL80" s="36">
        <v>16.5474</v>
      </c>
      <c r="BM80" s="36">
        <v>17.293099999999999</v>
      </c>
      <c r="BN80" s="36">
        <v>19.360800000000001</v>
      </c>
      <c r="BO80" s="37">
        <v>17.360600000000002</v>
      </c>
      <c r="BP80" s="35">
        <v>16.709900000000001</v>
      </c>
      <c r="BQ80" s="36">
        <v>16.3005</v>
      </c>
      <c r="BR80" s="36">
        <v>14.1363</v>
      </c>
      <c r="BS80" s="36">
        <v>15.4438</v>
      </c>
      <c r="BT80" s="36">
        <v>14.3956</v>
      </c>
      <c r="BU80" s="36">
        <v>13.8962</v>
      </c>
      <c r="BV80" s="36">
        <v>12.356299999999999</v>
      </c>
      <c r="BW80" s="36">
        <v>11.8726</v>
      </c>
      <c r="BX80" s="36">
        <v>10.5497</v>
      </c>
      <c r="BY80" s="36">
        <v>9.6560000000000006</v>
      </c>
      <c r="BZ80" s="36">
        <v>9.5335999999999999</v>
      </c>
      <c r="CA80" s="38">
        <v>9.5265000000000004</v>
      </c>
      <c r="CB80" s="63">
        <v>9.5280000000000005</v>
      </c>
      <c r="CC80" s="51">
        <v>10.4343</v>
      </c>
      <c r="CD80" s="45">
        <v>10.8353</v>
      </c>
      <c r="CE80" s="45">
        <v>10.3482</v>
      </c>
      <c r="CF80" s="44">
        <v>12.004799999999999</v>
      </c>
      <c r="CG80" s="36">
        <f>Table145[[#This Row],[Jul-24]]+2.1948</f>
        <v>13.4148</v>
      </c>
      <c r="CH80" s="45">
        <v>11.22</v>
      </c>
      <c r="CI80" s="45">
        <f>11.5851-1.0152</f>
        <v>10.569900000000001</v>
      </c>
      <c r="CJ80" s="45">
        <v>11.7864</v>
      </c>
      <c r="CK80" s="45">
        <v>9.5827000000000009</v>
      </c>
      <c r="CL80" s="45">
        <v>8.8257999999999992</v>
      </c>
      <c r="CM80" s="50">
        <f>8.3814+2.5961</f>
        <v>10.977499999999999</v>
      </c>
      <c r="CN80" s="49">
        <v>8.3813999999999993</v>
      </c>
      <c r="CO80" s="45">
        <v>7.9985999999999997</v>
      </c>
      <c r="CP80" s="45">
        <v>9.8643999999999998</v>
      </c>
      <c r="CQ80" s="45"/>
      <c r="CR80" s="45"/>
      <c r="CS80" s="45"/>
      <c r="CT80" s="45"/>
      <c r="CU80" s="45"/>
      <c r="CV80" s="45"/>
      <c r="CW80" s="45"/>
      <c r="CX80" s="45"/>
      <c r="CY80" s="45"/>
    </row>
    <row r="81" spans="1:103" ht="45" customHeight="1">
      <c r="A81" s="39">
        <v>59</v>
      </c>
      <c r="B81" s="40" t="s">
        <v>267</v>
      </c>
      <c r="C81" s="41" t="s">
        <v>268</v>
      </c>
      <c r="D81" s="41" t="s">
        <v>107</v>
      </c>
      <c r="E81" s="41" t="s">
        <v>108</v>
      </c>
      <c r="F81" s="41" t="s">
        <v>109</v>
      </c>
      <c r="G81" s="42" t="s">
        <v>110</v>
      </c>
      <c r="H81" s="35"/>
      <c r="I81" s="36"/>
      <c r="J81" s="36"/>
      <c r="K81" s="36"/>
      <c r="L81" s="36"/>
      <c r="M81" s="36"/>
      <c r="N81" s="36"/>
      <c r="O81" s="36"/>
      <c r="P81" s="36"/>
      <c r="Q81" s="36"/>
      <c r="R81" s="36"/>
      <c r="S81" s="37"/>
      <c r="T81" s="35"/>
      <c r="U81" s="36"/>
      <c r="V81" s="36"/>
      <c r="W81" s="36"/>
      <c r="X81" s="36"/>
      <c r="Y81" s="36"/>
      <c r="Z81" s="36"/>
      <c r="AA81" s="36"/>
      <c r="AB81" s="36"/>
      <c r="AC81" s="36"/>
      <c r="AD81" s="36"/>
      <c r="AE81" s="37"/>
      <c r="AF81" s="35"/>
      <c r="AG81" s="36"/>
      <c r="AH81" s="36"/>
      <c r="AI81" s="36"/>
      <c r="AJ81" s="36"/>
      <c r="AK81" s="36"/>
      <c r="AL81" s="36"/>
      <c r="AM81" s="36"/>
      <c r="AN81" s="36"/>
      <c r="AO81" s="36"/>
      <c r="AP81" s="36"/>
      <c r="AQ81" s="37"/>
      <c r="AR81" s="35"/>
      <c r="AS81" s="36"/>
      <c r="AT81" s="36"/>
      <c r="AU81" s="36"/>
      <c r="AV81" s="36"/>
      <c r="AW81" s="36"/>
      <c r="AX81" s="36"/>
      <c r="AY81" s="36"/>
      <c r="AZ81" s="36"/>
      <c r="BA81" s="36"/>
      <c r="BB81" s="36"/>
      <c r="BC81" s="37"/>
      <c r="BD81" s="35">
        <v>14.09933</v>
      </c>
      <c r="BE81" s="36">
        <v>13.585000000000001</v>
      </c>
      <c r="BF81" s="36">
        <v>15.1562</v>
      </c>
      <c r="BG81" s="36">
        <v>15.6172</v>
      </c>
      <c r="BH81" s="36">
        <v>16.668199999999999</v>
      </c>
      <c r="BI81" s="36">
        <v>15.966900000000001</v>
      </c>
      <c r="BJ81" s="36">
        <v>18.807400000000001</v>
      </c>
      <c r="BK81" s="36">
        <v>18.622800000000002</v>
      </c>
      <c r="BL81" s="36">
        <v>17.6525</v>
      </c>
      <c r="BM81" s="36">
        <v>19.7576</v>
      </c>
      <c r="BN81" s="36">
        <v>19.581399999999999</v>
      </c>
      <c r="BO81" s="37">
        <v>19.1098</v>
      </c>
      <c r="BP81" s="35">
        <v>18.391999999999999</v>
      </c>
      <c r="BQ81" s="36">
        <v>18.260200000000001</v>
      </c>
      <c r="BR81" s="47">
        <v>13.46</v>
      </c>
      <c r="BS81" s="36">
        <v>16.418900000000001</v>
      </c>
      <c r="BT81" s="36">
        <v>15.6334</v>
      </c>
      <c r="BU81" s="36">
        <v>16.2026</v>
      </c>
      <c r="BV81" s="36">
        <v>14.9275</v>
      </c>
      <c r="BW81" s="36">
        <v>13.613300000000001</v>
      </c>
      <c r="BX81" s="36">
        <v>13.558199999999999</v>
      </c>
      <c r="BY81" s="36">
        <v>13.251899999999999</v>
      </c>
      <c r="BZ81" s="36">
        <v>14.9542</v>
      </c>
      <c r="CA81" s="38">
        <v>10.418100000000001</v>
      </c>
      <c r="CB81" s="35">
        <v>12.893599999999999</v>
      </c>
      <c r="CC81" s="36"/>
      <c r="CD81" s="36"/>
      <c r="CE81" s="36"/>
      <c r="CF81" s="36"/>
      <c r="CG81" s="36">
        <v>14.1191</v>
      </c>
      <c r="CH81" s="36">
        <v>13.219099999999999</v>
      </c>
      <c r="CI81" s="36">
        <f>Table145[[#This Row],[Sep-24]]-0.2055</f>
        <v>13.362499999999999</v>
      </c>
      <c r="CJ81" s="49">
        <v>13.568</v>
      </c>
      <c r="CK81" s="36">
        <v>13.1759</v>
      </c>
      <c r="CL81" s="36">
        <v>9.6635000000000009</v>
      </c>
      <c r="CM81" s="38">
        <v>13.5198</v>
      </c>
      <c r="CN81" s="49">
        <v>10.2988</v>
      </c>
      <c r="CO81" s="36"/>
      <c r="CP81" s="36"/>
      <c r="CQ81" s="36"/>
      <c r="CR81" s="36"/>
      <c r="CS81" s="36"/>
      <c r="CT81" s="36"/>
      <c r="CU81" s="36"/>
      <c r="CV81" s="36"/>
      <c r="CW81" s="36"/>
      <c r="CX81" s="36"/>
      <c r="CY81" s="36"/>
    </row>
    <row r="82" spans="1:103" ht="45" customHeight="1">
      <c r="A82" s="39">
        <v>124</v>
      </c>
      <c r="B82" s="40" t="s">
        <v>269</v>
      </c>
      <c r="C82" s="41" t="s">
        <v>270</v>
      </c>
      <c r="D82" s="41" t="s">
        <v>107</v>
      </c>
      <c r="E82" s="41" t="s">
        <v>166</v>
      </c>
      <c r="F82" s="41" t="s">
        <v>125</v>
      </c>
      <c r="G82" s="42" t="s">
        <v>110</v>
      </c>
      <c r="H82" s="35">
        <v>13.0084</v>
      </c>
      <c r="I82" s="36">
        <v>13.155200000000001</v>
      </c>
      <c r="J82" s="36">
        <v>13.5724</v>
      </c>
      <c r="K82" s="36">
        <v>13.4953</v>
      </c>
      <c r="L82" s="36">
        <v>13.658899999999999</v>
      </c>
      <c r="M82" s="36">
        <v>13.4831</v>
      </c>
      <c r="N82" s="36">
        <v>13.6851</v>
      </c>
      <c r="O82" s="36">
        <v>13.6854</v>
      </c>
      <c r="P82" s="36">
        <v>13.686400000000001</v>
      </c>
      <c r="Q82" s="36">
        <v>13.6935</v>
      </c>
      <c r="R82" s="36">
        <v>13.645099999999999</v>
      </c>
      <c r="S82" s="37">
        <v>13.613200000000001</v>
      </c>
      <c r="T82" s="35">
        <v>13.136799999999999</v>
      </c>
      <c r="U82" s="36">
        <v>12.7475</v>
      </c>
      <c r="V82" s="36">
        <v>12.368499999999999</v>
      </c>
      <c r="W82" s="36">
        <v>11.1104</v>
      </c>
      <c r="X82" s="36">
        <v>11.161300000000001</v>
      </c>
      <c r="Y82" s="36">
        <v>11.6286</v>
      </c>
      <c r="Z82" s="36">
        <v>11.401300000000001</v>
      </c>
      <c r="AA82" s="36">
        <v>12.4587</v>
      </c>
      <c r="AB82" s="36">
        <v>11.992000000000001</v>
      </c>
      <c r="AC82" s="36">
        <v>12.4232</v>
      </c>
      <c r="AD82" s="36">
        <v>12.530200000000001</v>
      </c>
      <c r="AE82" s="37">
        <v>12.853999999999999</v>
      </c>
      <c r="AF82" s="35">
        <v>12.835699999999999</v>
      </c>
      <c r="AG82" s="36">
        <v>12.922599999999999</v>
      </c>
      <c r="AH82" s="36">
        <v>12.963699999999999</v>
      </c>
      <c r="AI82" s="36">
        <v>12.739599999999999</v>
      </c>
      <c r="AJ82" s="36">
        <v>12.206899999999999</v>
      </c>
      <c r="AK82" s="36">
        <v>12.134399999999999</v>
      </c>
      <c r="AL82" s="36">
        <v>11.879</v>
      </c>
      <c r="AM82" s="36">
        <v>12.1843</v>
      </c>
      <c r="AN82" s="36">
        <v>11.908899999999999</v>
      </c>
      <c r="AO82" s="36">
        <v>11.684699999999999</v>
      </c>
      <c r="AP82" s="36">
        <v>11.802899999999999</v>
      </c>
      <c r="AQ82" s="37">
        <v>11.430300000000001</v>
      </c>
      <c r="AR82" s="35">
        <v>11.6233</v>
      </c>
      <c r="AS82" s="36">
        <v>12.3628</v>
      </c>
      <c r="AT82" s="36">
        <v>12.347</v>
      </c>
      <c r="AU82" s="36">
        <v>12.557600000000001</v>
      </c>
      <c r="AV82" s="36">
        <v>12.4419</v>
      </c>
      <c r="AW82" s="36">
        <v>12.2056</v>
      </c>
      <c r="AX82" s="36">
        <v>12.410600000000001</v>
      </c>
      <c r="AY82" s="36">
        <v>12.657299999999999</v>
      </c>
      <c r="AZ82" s="36">
        <v>12.950100000000001</v>
      </c>
      <c r="BA82" s="36">
        <v>13.5495</v>
      </c>
      <c r="BB82" s="36">
        <v>13.818</v>
      </c>
      <c r="BC82" s="37">
        <v>13.735099999999999</v>
      </c>
      <c r="BD82" s="35">
        <v>13.935600000000001</v>
      </c>
      <c r="BE82" s="36">
        <v>14.2675</v>
      </c>
      <c r="BF82" s="36">
        <v>14.8207</v>
      </c>
      <c r="BG82" s="36">
        <v>14.850199999999999</v>
      </c>
      <c r="BH82" s="36">
        <v>14.441599999999999</v>
      </c>
      <c r="BI82" s="36">
        <v>14.7255</v>
      </c>
      <c r="BJ82" s="36">
        <v>16.6904</v>
      </c>
      <c r="BK82" s="36">
        <v>17.677</v>
      </c>
      <c r="BL82" s="36">
        <v>18.086200000000002</v>
      </c>
      <c r="BM82" s="36">
        <v>18.6264</v>
      </c>
      <c r="BN82" s="36">
        <v>18.589200000000002</v>
      </c>
      <c r="BO82" s="37">
        <v>18.787600000000001</v>
      </c>
      <c r="BP82" s="35">
        <v>17.8948</v>
      </c>
      <c r="BQ82" s="36">
        <v>19.178100000000001</v>
      </c>
      <c r="BR82" s="47">
        <v>18.4604</v>
      </c>
      <c r="BS82" s="36">
        <v>17.922999999999998</v>
      </c>
      <c r="BT82" s="36">
        <v>16.837</v>
      </c>
      <c r="BU82" s="36">
        <v>15.2346</v>
      </c>
      <c r="BV82" s="36">
        <v>14.574</v>
      </c>
      <c r="BW82" s="36">
        <v>14.326499999999999</v>
      </c>
      <c r="BX82" s="36">
        <v>13.630800000000001</v>
      </c>
      <c r="BY82" s="36">
        <v>13.44</v>
      </c>
      <c r="BZ82" s="36">
        <v>13.6394</v>
      </c>
      <c r="CA82" s="38">
        <v>12</v>
      </c>
      <c r="CB82" s="48">
        <v>12.524699999999999</v>
      </c>
      <c r="CC82" s="51">
        <v>12.974399999999999</v>
      </c>
      <c r="CD82" s="45">
        <v>13.449199999999999</v>
      </c>
      <c r="CE82" s="45">
        <v>12.778600000000001</v>
      </c>
      <c r="CF82" s="44">
        <v>12.4246</v>
      </c>
      <c r="CG82" s="45">
        <v>13.472</v>
      </c>
      <c r="CH82" s="45">
        <v>12.3634</v>
      </c>
      <c r="CI82" s="45">
        <v>12.6395</v>
      </c>
      <c r="CJ82" s="45">
        <v>11.5403</v>
      </c>
      <c r="CK82" s="45">
        <v>11.84</v>
      </c>
      <c r="CL82" s="45">
        <v>12.3508</v>
      </c>
      <c r="CM82" s="50">
        <v>12.586</v>
      </c>
      <c r="CN82" s="81">
        <v>12.2554</v>
      </c>
      <c r="CO82" s="53">
        <v>11.9587</v>
      </c>
      <c r="CP82" s="53">
        <v>12.1053</v>
      </c>
      <c r="CQ82" s="53"/>
      <c r="CR82" s="53"/>
      <c r="CS82" s="53"/>
      <c r="CT82" s="53"/>
      <c r="CU82" s="53"/>
      <c r="CV82" s="53"/>
      <c r="CW82" s="53"/>
      <c r="CX82" s="53"/>
      <c r="CY82" s="53"/>
    </row>
    <row r="83" spans="1:103" ht="45" customHeight="1">
      <c r="A83" s="39">
        <v>125</v>
      </c>
      <c r="B83" s="40" t="s">
        <v>271</v>
      </c>
      <c r="C83" s="41" t="s">
        <v>272</v>
      </c>
      <c r="D83" s="41" t="s">
        <v>107</v>
      </c>
      <c r="E83" s="41" t="s">
        <v>138</v>
      </c>
      <c r="F83" s="41" t="s">
        <v>125</v>
      </c>
      <c r="G83" s="42" t="s">
        <v>110</v>
      </c>
      <c r="H83" s="35"/>
      <c r="I83" s="36"/>
      <c r="J83" s="36"/>
      <c r="K83" s="36"/>
      <c r="L83" s="36"/>
      <c r="M83" s="36"/>
      <c r="N83" s="36"/>
      <c r="O83" s="36"/>
      <c r="P83" s="36"/>
      <c r="Q83" s="36"/>
      <c r="R83" s="36"/>
      <c r="S83" s="37"/>
      <c r="T83" s="35"/>
      <c r="U83" s="36"/>
      <c r="V83" s="36"/>
      <c r="W83" s="36"/>
      <c r="X83" s="36"/>
      <c r="Y83" s="36"/>
      <c r="Z83" s="36"/>
      <c r="AA83" s="36"/>
      <c r="AB83" s="36"/>
      <c r="AC83" s="36"/>
      <c r="AD83" s="36"/>
      <c r="AE83" s="37"/>
      <c r="AF83" s="35"/>
      <c r="AG83" s="36"/>
      <c r="AH83" s="36"/>
      <c r="AI83" s="36"/>
      <c r="AJ83" s="36"/>
      <c r="AK83" s="36"/>
      <c r="AL83" s="36"/>
      <c r="AM83" s="36"/>
      <c r="AN83" s="36"/>
      <c r="AO83" s="36"/>
      <c r="AP83" s="36"/>
      <c r="AQ83" s="37"/>
      <c r="AR83" s="35"/>
      <c r="AS83" s="36"/>
      <c r="AT83" s="36"/>
      <c r="AU83" s="36"/>
      <c r="AV83" s="36"/>
      <c r="AW83" s="36"/>
      <c r="AX83" s="36"/>
      <c r="AY83" s="36"/>
      <c r="AZ83" s="36"/>
      <c r="BA83" s="36"/>
      <c r="BB83" s="36"/>
      <c r="BC83" s="37"/>
      <c r="BD83" s="35"/>
      <c r="BE83" s="36"/>
      <c r="BF83" s="36"/>
      <c r="BG83" s="36"/>
      <c r="BH83" s="36"/>
      <c r="BI83" s="36"/>
      <c r="BJ83" s="36"/>
      <c r="BK83" s="36"/>
      <c r="BL83" s="36"/>
      <c r="BM83" s="36"/>
      <c r="BN83" s="36"/>
      <c r="BO83" s="37"/>
      <c r="BP83" s="35">
        <v>5.9653999999999998</v>
      </c>
      <c r="BQ83" s="36">
        <v>6.3170000000000002</v>
      </c>
      <c r="BR83" s="36">
        <v>6.3224999999999998</v>
      </c>
      <c r="BS83" s="36">
        <v>4.9131999999999998</v>
      </c>
      <c r="BT83" s="36">
        <v>4.8682999999999996</v>
      </c>
      <c r="BU83" s="36">
        <f>2.9504-0.3+0.0282+0.1433+1.0543+0.2996+0.513+0.0015+0.2216+0.0017+0.0428</f>
        <v>4.9563999999999995</v>
      </c>
      <c r="BV83" s="36">
        <f>2.9491-0.3+0.282+0.1445+1.0543+0.2996+0.513+0.2216+0.0017+0.0428</f>
        <v>5.2085999999999988</v>
      </c>
      <c r="BW83" s="36">
        <f>2.6628-0.3+0.0282+0.1521+1.0543+0.2996+0.513+0.0036+0.2216+0.0017+0.0428-0.0095+0.0175+0.1265+0.036+0.6+0.0616+0.0004</f>
        <v>5.5121999999999982</v>
      </c>
      <c r="BX83" s="36">
        <v>5.5071799999999991</v>
      </c>
      <c r="BY83" s="36">
        <f>2.6625-0.3+0.0282+0.1476+1.0543+0.2996+0.513+0.0036+0.2477+0.0017+0.0428-0.0095+0.0178+0.1265+0.06+0.6+0.616+0.0004</f>
        <v>6.1121999999999987</v>
      </c>
      <c r="BZ83" s="36">
        <f>2.667-0.3+0.0282+0.1477+1.0543+0.2996+0.513+0.2477+0.0017+0.0428-0.0095+0.0177+0.1265+0.036+0.6+0.0616</f>
        <v>5.5342999999999982</v>
      </c>
      <c r="CA83" s="38">
        <v>4.9147999999999996</v>
      </c>
      <c r="CB83" s="48">
        <v>4.9142000000000001</v>
      </c>
      <c r="CC83" s="51">
        <v>5.2499000000000002</v>
      </c>
      <c r="CD83" s="45">
        <v>5.2496</v>
      </c>
      <c r="CE83" s="45">
        <v>5.0479000000000003</v>
      </c>
      <c r="CF83" s="44">
        <v>5.0157999999999996</v>
      </c>
      <c r="CG83" s="45"/>
      <c r="CH83" s="45"/>
      <c r="CI83" s="45">
        <v>4.7830000000000004</v>
      </c>
      <c r="CJ83" s="36">
        <v>4.766</v>
      </c>
      <c r="CK83" s="45">
        <v>4.8075000000000001</v>
      </c>
      <c r="CL83" s="45">
        <v>4.8164999999999996</v>
      </c>
      <c r="CM83" s="50">
        <v>4.7870999999999997</v>
      </c>
      <c r="CN83" s="74">
        <v>4.7915000000000001</v>
      </c>
      <c r="CO83" s="71">
        <v>5.2393000000000001</v>
      </c>
      <c r="CP83" s="71">
        <v>5.5365000000000002</v>
      </c>
      <c r="CQ83" s="71"/>
      <c r="CR83" s="71"/>
      <c r="CS83" s="71"/>
      <c r="CT83" s="71"/>
      <c r="CU83" s="71"/>
      <c r="CV83" s="71"/>
      <c r="CW83" s="71"/>
      <c r="CX83" s="71"/>
      <c r="CY83" s="71"/>
    </row>
    <row r="84" spans="1:103" ht="45" customHeight="1">
      <c r="A84" s="39">
        <v>94</v>
      </c>
      <c r="B84" s="40" t="s">
        <v>273</v>
      </c>
      <c r="C84" s="41" t="s">
        <v>274</v>
      </c>
      <c r="D84" s="41" t="s">
        <v>107</v>
      </c>
      <c r="E84" s="41" t="s">
        <v>154</v>
      </c>
      <c r="F84" s="41" t="s">
        <v>118</v>
      </c>
      <c r="G84" s="42" t="s">
        <v>110</v>
      </c>
      <c r="H84" s="35">
        <v>2.0181</v>
      </c>
      <c r="I84" s="36">
        <v>7.3292999999999999</v>
      </c>
      <c r="J84" s="36">
        <v>7.7184999999999997</v>
      </c>
      <c r="K84" s="36">
        <v>7.8814000000000002</v>
      </c>
      <c r="L84" s="36">
        <v>7.5907</v>
      </c>
      <c r="M84" s="36">
        <v>7.5984999999999996</v>
      </c>
      <c r="N84" s="36">
        <v>7.6532999999999998</v>
      </c>
      <c r="O84" s="36">
        <v>8.0961999999999996</v>
      </c>
      <c r="P84" s="36">
        <v>8.4247999999999994</v>
      </c>
      <c r="Q84" s="36">
        <v>8.7995000000000001</v>
      </c>
      <c r="R84" s="36">
        <v>8.8683999999999994</v>
      </c>
      <c r="S84" s="37">
        <v>8.5549999999999997</v>
      </c>
      <c r="T84" s="35">
        <v>8.1614000000000004</v>
      </c>
      <c r="U84" s="36">
        <v>6.3983999999999996</v>
      </c>
      <c r="V84" s="36">
        <v>6.2843</v>
      </c>
      <c r="W84" s="36">
        <v>6.2877000000000001</v>
      </c>
      <c r="X84" s="36">
        <v>7.0228999999999999</v>
      </c>
      <c r="Y84" s="36">
        <v>7.0133999999999999</v>
      </c>
      <c r="Z84" s="36">
        <v>7.6806000000000001</v>
      </c>
      <c r="AA84" s="36">
        <v>5.7439999999999998</v>
      </c>
      <c r="AB84" s="36">
        <v>6.2752999999999997</v>
      </c>
      <c r="AC84" s="36">
        <v>6.0167000000000002</v>
      </c>
      <c r="AD84" s="36">
        <v>6.0415000000000001</v>
      </c>
      <c r="AE84" s="37">
        <v>5.8723000000000001</v>
      </c>
      <c r="AF84" s="35">
        <v>5.2339000000000002</v>
      </c>
      <c r="AG84" s="36">
        <v>6.0857999999999999</v>
      </c>
      <c r="AH84" s="36">
        <v>5.9530000000000003</v>
      </c>
      <c r="AI84" s="36">
        <v>5.0057999999999998</v>
      </c>
      <c r="AJ84" s="36">
        <v>4.3343999999999996</v>
      </c>
      <c r="AK84" s="36">
        <v>4.8125</v>
      </c>
      <c r="AL84" s="36">
        <v>5.7666000000000004</v>
      </c>
      <c r="AM84" s="36">
        <v>5.3009000000000004</v>
      </c>
      <c r="AN84" s="36">
        <v>5.2240000000000002</v>
      </c>
      <c r="AO84" s="36">
        <v>5.5694999999999997</v>
      </c>
      <c r="AP84" s="36">
        <v>5.0357000000000003</v>
      </c>
      <c r="AQ84" s="37">
        <v>4.7939999999999996</v>
      </c>
      <c r="AR84" s="35">
        <v>5.2129000000000003</v>
      </c>
      <c r="AS84" s="36">
        <v>5.9516999999999998</v>
      </c>
      <c r="AT84" s="36">
        <v>6.3963999999999999</v>
      </c>
      <c r="AU84" s="36">
        <v>6.7092999999999998</v>
      </c>
      <c r="AV84" s="36">
        <v>6.8170999999999999</v>
      </c>
      <c r="AW84" s="36">
        <v>6.4267000000000003</v>
      </c>
      <c r="AX84" s="36">
        <v>7.5693999999999999</v>
      </c>
      <c r="AY84" s="36">
        <v>8.0488999999999997</v>
      </c>
      <c r="AZ84" s="36">
        <v>7.5998000000000001</v>
      </c>
      <c r="BA84" s="36">
        <v>7.0636000000000001</v>
      </c>
      <c r="BB84" s="36">
        <v>7.9249999999999998</v>
      </c>
      <c r="BC84" s="37">
        <v>7.8413000000000004</v>
      </c>
      <c r="BD84" s="35">
        <v>8.2339000000000002</v>
      </c>
      <c r="BE84" s="36">
        <v>10.246600000000001</v>
      </c>
      <c r="BF84" s="36">
        <v>10.354200000000001</v>
      </c>
      <c r="BG84" s="36">
        <v>9.6933000000000007</v>
      </c>
      <c r="BH84" s="36">
        <v>10.361499999999999</v>
      </c>
      <c r="BI84" s="36">
        <v>11.0627</v>
      </c>
      <c r="BJ84" s="36">
        <v>12.377700000000001</v>
      </c>
      <c r="BK84" s="36">
        <v>11.640700000000001</v>
      </c>
      <c r="BL84" s="36">
        <v>14.302</v>
      </c>
      <c r="BM84" s="36">
        <v>14.1432</v>
      </c>
      <c r="BN84" s="36">
        <v>13.7744</v>
      </c>
      <c r="BO84" s="37">
        <v>11.8881</v>
      </c>
      <c r="BP84" s="35">
        <v>10.9039</v>
      </c>
      <c r="BQ84" s="36">
        <v>11.340999999999999</v>
      </c>
      <c r="BR84" s="47">
        <v>10.861000000000001</v>
      </c>
      <c r="BS84" s="36">
        <v>10.1615</v>
      </c>
      <c r="BT84" s="36">
        <v>9.8367000000000004</v>
      </c>
      <c r="BU84" s="36">
        <f>14.1862-1.3126</f>
        <v>12.8736</v>
      </c>
      <c r="BV84" s="36">
        <v>13.776199999999999</v>
      </c>
      <c r="BW84" s="36">
        <v>12.946899999999999</v>
      </c>
      <c r="BX84" s="36">
        <v>12.6821</v>
      </c>
      <c r="BY84" s="36">
        <v>12.6821</v>
      </c>
      <c r="BZ84" s="36">
        <v>14.2521</v>
      </c>
      <c r="CA84" s="38">
        <v>15.1929</v>
      </c>
      <c r="CB84" s="52">
        <v>12.427600000000002</v>
      </c>
      <c r="CC84" s="51">
        <v>11.226000000000001</v>
      </c>
      <c r="CD84" s="45">
        <v>12.267200000000001</v>
      </c>
      <c r="CE84" s="45">
        <v>13.2464</v>
      </c>
      <c r="CF84" s="36">
        <v>12.848699999999999</v>
      </c>
      <c r="CG84" s="36">
        <v>15.4819</v>
      </c>
      <c r="CH84" s="45">
        <v>16.452100000000002</v>
      </c>
      <c r="CI84" s="49">
        <v>13.947900000000001</v>
      </c>
      <c r="CJ84" s="45">
        <v>16.408999999999999</v>
      </c>
      <c r="CK84" s="45">
        <v>14.371</v>
      </c>
      <c r="CL84" s="45">
        <v>15.8683</v>
      </c>
      <c r="CM84" s="50">
        <v>14.3551</v>
      </c>
      <c r="CN84" s="49">
        <v>13.458</v>
      </c>
      <c r="CO84" s="45">
        <v>14.300700000000001</v>
      </c>
      <c r="CP84" s="45">
        <v>13.597</v>
      </c>
      <c r="CQ84" s="45"/>
      <c r="CR84" s="45"/>
      <c r="CS84" s="45"/>
      <c r="CT84" s="45"/>
      <c r="CU84" s="45"/>
      <c r="CV84" s="45"/>
      <c r="CW84" s="45"/>
      <c r="CX84" s="45"/>
      <c r="CY84" s="45"/>
    </row>
    <row r="85" spans="1:103" ht="45" customHeight="1">
      <c r="A85" s="39">
        <v>70</v>
      </c>
      <c r="B85" s="40" t="s">
        <v>275</v>
      </c>
      <c r="C85" s="41" t="s">
        <v>276</v>
      </c>
      <c r="D85" s="41" t="s">
        <v>107</v>
      </c>
      <c r="E85" s="41" t="s">
        <v>154</v>
      </c>
      <c r="F85" s="41" t="s">
        <v>118</v>
      </c>
      <c r="G85" s="42" t="s">
        <v>110</v>
      </c>
      <c r="H85" s="35"/>
      <c r="I85" s="36"/>
      <c r="J85" s="36"/>
      <c r="K85" s="36"/>
      <c r="L85" s="36"/>
      <c r="M85" s="36"/>
      <c r="N85" s="36"/>
      <c r="O85" s="36"/>
      <c r="P85" s="36"/>
      <c r="Q85" s="36"/>
      <c r="R85" s="36"/>
      <c r="S85" s="37"/>
      <c r="T85" s="35"/>
      <c r="U85" s="36"/>
      <c r="V85" s="36"/>
      <c r="W85" s="36"/>
      <c r="X85" s="36"/>
      <c r="Y85" s="36"/>
      <c r="Z85" s="36"/>
      <c r="AA85" s="36"/>
      <c r="AB85" s="36"/>
      <c r="AC85" s="36"/>
      <c r="AD85" s="36"/>
      <c r="AE85" s="37"/>
      <c r="AF85" s="35"/>
      <c r="AG85" s="36"/>
      <c r="AH85" s="36"/>
      <c r="AI85" s="36"/>
      <c r="AJ85" s="36"/>
      <c r="AK85" s="36"/>
      <c r="AL85" s="36"/>
      <c r="AM85" s="36"/>
      <c r="AN85" s="36"/>
      <c r="AO85" s="36"/>
      <c r="AP85" s="36"/>
      <c r="AQ85" s="37"/>
      <c r="AR85" s="35"/>
      <c r="AS85" s="36"/>
      <c r="AT85" s="36"/>
      <c r="AU85" s="36"/>
      <c r="AV85" s="36"/>
      <c r="AW85" s="36"/>
      <c r="AX85" s="36"/>
      <c r="AY85" s="36"/>
      <c r="AZ85" s="36"/>
      <c r="BA85" s="36"/>
      <c r="BB85" s="36"/>
      <c r="BC85" s="37"/>
      <c r="BD85" s="35">
        <v>10.7453</v>
      </c>
      <c r="BE85" s="36">
        <v>9.8375000000000004</v>
      </c>
      <c r="BF85" s="36">
        <v>10.6233</v>
      </c>
      <c r="BG85" s="36">
        <v>10.606</v>
      </c>
      <c r="BH85" s="36">
        <v>11.011900000000001</v>
      </c>
      <c r="BI85" s="36">
        <v>12.0991</v>
      </c>
      <c r="BJ85" s="36">
        <v>11.954499999999999</v>
      </c>
      <c r="BK85" s="36">
        <v>11.781499999999999</v>
      </c>
      <c r="BL85" s="36">
        <v>12.442600000000001</v>
      </c>
      <c r="BM85" s="36"/>
      <c r="BN85" s="36"/>
      <c r="BO85" s="37">
        <v>10.4899</v>
      </c>
      <c r="BP85" s="35">
        <v>10.1425</v>
      </c>
      <c r="BQ85" s="36">
        <v>10.3797</v>
      </c>
      <c r="BR85" s="36">
        <v>10.1812</v>
      </c>
      <c r="BS85" s="36">
        <v>9.8980999999999995</v>
      </c>
      <c r="BT85" s="36">
        <v>9.9685000000000006</v>
      </c>
      <c r="BU85" s="36">
        <v>10.1127</v>
      </c>
      <c r="BV85" s="36">
        <v>9.6359999999999992</v>
      </c>
      <c r="BW85" s="36">
        <v>8.8922000000000008</v>
      </c>
      <c r="BX85" s="36">
        <v>9.1713000000000005</v>
      </c>
      <c r="BY85" s="36">
        <v>9.3705999999999996</v>
      </c>
      <c r="BZ85" s="36">
        <v>10.971399999999999</v>
      </c>
      <c r="CA85" s="38">
        <v>9.1952999999999996</v>
      </c>
      <c r="CB85" s="43">
        <v>9.2904</v>
      </c>
      <c r="CC85" s="45">
        <v>8.9393999999999991</v>
      </c>
      <c r="CD85" s="45">
        <v>9.2146000000000008</v>
      </c>
      <c r="CE85" s="45">
        <v>9.0486000000000004</v>
      </c>
      <c r="CF85" s="44">
        <v>9.6812000000000005</v>
      </c>
      <c r="CG85" s="44">
        <f>8.0457+0.808+0.6744+0.2748+0.414+0.346+0.1518+0.011+0.0428+0.0017+0.0433</f>
        <v>10.813499999999999</v>
      </c>
      <c r="CH85" s="44">
        <f>7.5955+0.6594+0.6155+0.2748+0.414+0.346+0.1518+0.0104+0.0009+0.0428+0.0017+0.0433</f>
        <v>10.156100000000002</v>
      </c>
      <c r="CI85" s="44">
        <f>6.8861+0.7284+0.5684+0.2748+0.414+0.346+0.1518+0.0125+0.001+0.0428+0.0017</f>
        <v>9.4274999999999984</v>
      </c>
      <c r="CJ85" s="44">
        <v>10.9953</v>
      </c>
      <c r="CK85" s="44">
        <v>9.9460999999999995</v>
      </c>
      <c r="CL85" s="44">
        <v>11.5799</v>
      </c>
      <c r="CM85" s="46">
        <v>10.2951</v>
      </c>
      <c r="CN85" s="44">
        <f>6.546+0.17128+0.6518+0.2748+0.414+0.346+0.1518+0.0117+0.001+0.0428+0.0017</f>
        <v>8.6128799999999988</v>
      </c>
      <c r="CO85" s="44">
        <f>6.7684+2.2189+0.7025+0.2748+0.414+0.346+0.1518+0.0127+0.0013+0.4162+0.2658+0.055+0.0044+0.0428</f>
        <v>11.674600000000002</v>
      </c>
      <c r="CP85" s="44">
        <f>6.3498+1.7833+0.6302+0.2478+0.414+0.346+0.1518+0.0138+0.0012+0.0428+0.0044</f>
        <v>9.985100000000001</v>
      </c>
      <c r="CQ85" s="44"/>
      <c r="CR85" s="44"/>
      <c r="CS85" s="44"/>
      <c r="CT85" s="44"/>
      <c r="CU85" s="44"/>
      <c r="CV85" s="44"/>
      <c r="CW85" s="44"/>
      <c r="CX85" s="44"/>
      <c r="CY85" s="44"/>
    </row>
    <row r="86" spans="1:103" ht="45" customHeight="1">
      <c r="A86" s="39">
        <v>60</v>
      </c>
      <c r="B86" s="82" t="s">
        <v>277</v>
      </c>
      <c r="C86" s="41" t="s">
        <v>278</v>
      </c>
      <c r="D86" s="41" t="s">
        <v>107</v>
      </c>
      <c r="E86" s="41" t="s">
        <v>154</v>
      </c>
      <c r="F86" s="41" t="s">
        <v>118</v>
      </c>
      <c r="G86" s="42" t="s">
        <v>110</v>
      </c>
      <c r="H86" s="35">
        <v>8.7550000000000008</v>
      </c>
      <c r="I86" s="36">
        <v>9.7453000000000003</v>
      </c>
      <c r="J86" s="36">
        <v>10.1302</v>
      </c>
      <c r="K86" s="36">
        <v>9.4238</v>
      </c>
      <c r="L86" s="36">
        <v>9.5876000000000001</v>
      </c>
      <c r="M86" s="36">
        <v>9.5894999999999992</v>
      </c>
      <c r="N86" s="36">
        <v>9.5656999999999996</v>
      </c>
      <c r="O86" s="36">
        <v>9.6699000000000002</v>
      </c>
      <c r="P86" s="36">
        <v>9.9899000000000004</v>
      </c>
      <c r="Q86" s="36">
        <v>9.7896999999999998</v>
      </c>
      <c r="R86" s="36">
        <v>9.9725000000000001</v>
      </c>
      <c r="S86" s="37">
        <v>9.6374999999999993</v>
      </c>
      <c r="T86" s="35">
        <v>9.2988999999999997</v>
      </c>
      <c r="U86" s="36">
        <v>8.4548000000000005</v>
      </c>
      <c r="V86" s="36">
        <v>8.6274999999999995</v>
      </c>
      <c r="W86" s="36">
        <v>8.6196000000000002</v>
      </c>
      <c r="X86" s="36">
        <v>9.1113999999999997</v>
      </c>
      <c r="Y86" s="36">
        <v>8.9543999999999997</v>
      </c>
      <c r="Z86" s="83">
        <v>9.0070999999999994</v>
      </c>
      <c r="AA86" s="36">
        <v>8.3260000000000005</v>
      </c>
      <c r="AB86" s="36">
        <v>7.8856999999999999</v>
      </c>
      <c r="AC86" s="36">
        <v>7.6966000000000001</v>
      </c>
      <c r="AD86" s="36">
        <v>8.1138999999999992</v>
      </c>
      <c r="AE86" s="37">
        <v>8.5752000000000006</v>
      </c>
      <c r="AF86" s="35">
        <v>8.6304999999999996</v>
      </c>
      <c r="AG86" s="36">
        <v>8.6069999999999993</v>
      </c>
      <c r="AH86" s="36">
        <v>7.7290999999999999</v>
      </c>
      <c r="AI86" s="36">
        <v>7.9809999999999999</v>
      </c>
      <c r="AJ86" s="36">
        <v>7.8270999999999997</v>
      </c>
      <c r="AK86" s="36">
        <v>7.8567999999999998</v>
      </c>
      <c r="AL86" s="36">
        <v>7.88</v>
      </c>
      <c r="AM86" s="36">
        <v>7.8506</v>
      </c>
      <c r="AN86" s="36">
        <v>7.8315000000000001</v>
      </c>
      <c r="AO86" s="36">
        <v>7.9076000000000004</v>
      </c>
      <c r="AP86" s="36">
        <v>7.7732000000000001</v>
      </c>
      <c r="AQ86" s="37">
        <v>7.6215999999999999</v>
      </c>
      <c r="AR86" s="35">
        <v>7.6471</v>
      </c>
      <c r="AS86" s="36">
        <v>8.298</v>
      </c>
      <c r="AT86" s="36">
        <v>8.9040999999999997</v>
      </c>
      <c r="AU86" s="36">
        <v>9.6239000000000008</v>
      </c>
      <c r="AV86" s="36">
        <v>9.1449999999999996</v>
      </c>
      <c r="AW86" s="36">
        <v>9.4168000000000003</v>
      </c>
      <c r="AX86" s="36">
        <v>10.073</v>
      </c>
      <c r="AY86" s="36">
        <v>10.599</v>
      </c>
      <c r="AZ86" s="36">
        <v>9.5446000000000009</v>
      </c>
      <c r="BA86" s="36">
        <v>9.2592999999999996</v>
      </c>
      <c r="BB86" s="36">
        <v>9.0470000000000006</v>
      </c>
      <c r="BC86" s="37">
        <v>8.5744000000000007</v>
      </c>
      <c r="BD86" s="35">
        <v>9.9998000000000005</v>
      </c>
      <c r="BE86" s="36">
        <v>12.170999999999999</v>
      </c>
      <c r="BF86" s="36">
        <v>12.985200000000001</v>
      </c>
      <c r="BG86" s="36">
        <v>11.582800000000001</v>
      </c>
      <c r="BH86" s="36">
        <v>12.389699999999999</v>
      </c>
      <c r="BI86" s="36">
        <v>13.3012</v>
      </c>
      <c r="BJ86" s="36">
        <v>14.298999999999999</v>
      </c>
      <c r="BK86" s="36">
        <v>13.4377</v>
      </c>
      <c r="BL86" s="36">
        <v>15.236000000000001</v>
      </c>
      <c r="BM86" s="36">
        <v>13.460699999999999</v>
      </c>
      <c r="BN86" s="36">
        <v>13.2751</v>
      </c>
      <c r="BO86" s="37">
        <v>11.2041</v>
      </c>
      <c r="BP86" s="35">
        <v>10.9422</v>
      </c>
      <c r="BQ86" s="36">
        <v>11.5222</v>
      </c>
      <c r="BR86" s="36">
        <v>11.5726</v>
      </c>
      <c r="BS86" s="36">
        <v>11.0685</v>
      </c>
      <c r="BT86" s="36">
        <v>11.135</v>
      </c>
      <c r="BU86" s="36">
        <f>14.1345-1.1982</f>
        <v>12.936299999999999</v>
      </c>
      <c r="BV86" s="36">
        <f>13.3987-1.0994</f>
        <v>12.299300000000001</v>
      </c>
      <c r="BW86" s="36"/>
      <c r="BX86" s="54">
        <v>12.2204</v>
      </c>
      <c r="BY86" s="36">
        <v>13.853400000000001</v>
      </c>
      <c r="BZ86" s="36">
        <v>16.337</v>
      </c>
      <c r="CA86" s="38">
        <v>13.735799999999999</v>
      </c>
      <c r="CB86" s="35">
        <v>14.3948</v>
      </c>
      <c r="CC86" s="36">
        <v>13.218999999999999</v>
      </c>
      <c r="CD86" s="36">
        <v>12.7818</v>
      </c>
      <c r="CE86" s="36">
        <v>14.046799999999999</v>
      </c>
      <c r="CF86" s="36">
        <v>13.577400000000001</v>
      </c>
      <c r="CG86" s="49">
        <v>11.863</v>
      </c>
      <c r="CH86" s="36">
        <f>17.1664-1.3376</f>
        <v>15.828799999999999</v>
      </c>
      <c r="CI86" s="49">
        <v>10.9344</v>
      </c>
      <c r="CJ86" s="36">
        <v>15.2211</v>
      </c>
      <c r="CK86" s="36">
        <v>15.2211</v>
      </c>
      <c r="CL86" s="36">
        <v>17.0518</v>
      </c>
      <c r="CM86" s="38">
        <v>15.237299999999999</v>
      </c>
      <c r="CN86" s="36">
        <v>15.803100000000001</v>
      </c>
      <c r="CO86" s="36">
        <v>16.566600000000001</v>
      </c>
      <c r="CP86" s="36">
        <v>16.048200000000001</v>
      </c>
      <c r="CQ86" s="36"/>
      <c r="CR86" s="36"/>
      <c r="CS86" s="36"/>
      <c r="CT86" s="36"/>
      <c r="CU86" s="36"/>
      <c r="CV86" s="36"/>
      <c r="CW86" s="36"/>
      <c r="CX86" s="36"/>
      <c r="CY86" s="36"/>
    </row>
    <row r="87" spans="1:103" ht="45" customHeight="1">
      <c r="A87" s="39">
        <v>126</v>
      </c>
      <c r="B87" s="40" t="s">
        <v>279</v>
      </c>
      <c r="C87" s="41" t="s">
        <v>280</v>
      </c>
      <c r="D87" s="41" t="s">
        <v>107</v>
      </c>
      <c r="E87" s="41" t="s">
        <v>154</v>
      </c>
      <c r="F87" s="41" t="s">
        <v>118</v>
      </c>
      <c r="G87" s="42" t="s">
        <v>110</v>
      </c>
      <c r="H87" s="35">
        <v>8.0664999999999996</v>
      </c>
      <c r="I87" s="36">
        <v>8.9359999999999999</v>
      </c>
      <c r="J87" s="36">
        <v>9.2424999999999997</v>
      </c>
      <c r="K87" s="36">
        <v>8.9585000000000008</v>
      </c>
      <c r="L87" s="36">
        <v>9.2055000000000007</v>
      </c>
      <c r="M87" s="36">
        <v>8.5832999999999995</v>
      </c>
      <c r="N87" s="36">
        <v>9.0678999999999998</v>
      </c>
      <c r="O87" s="36">
        <v>8.2643000000000004</v>
      </c>
      <c r="P87" s="36">
        <v>9.3917999999999999</v>
      </c>
      <c r="Q87" s="36">
        <v>9.6586999999999996</v>
      </c>
      <c r="R87" s="36">
        <v>9.4647000000000006</v>
      </c>
      <c r="S87" s="37">
        <v>9.3384</v>
      </c>
      <c r="T87" s="35">
        <v>8.8687000000000005</v>
      </c>
      <c r="U87" s="36">
        <v>6.7252999999999998</v>
      </c>
      <c r="V87" s="36">
        <v>6.7546999999999997</v>
      </c>
      <c r="W87" s="36">
        <v>6.7051999999999996</v>
      </c>
      <c r="X87" s="36">
        <v>6.9176000000000002</v>
      </c>
      <c r="Y87" s="36">
        <v>7.2060000000000004</v>
      </c>
      <c r="Z87" s="36">
        <v>7.3493000000000004</v>
      </c>
      <c r="AA87" s="36">
        <v>5.6875</v>
      </c>
      <c r="AB87" s="36">
        <v>6.2135999999999996</v>
      </c>
      <c r="AC87" s="36">
        <v>6.3883000000000001</v>
      </c>
      <c r="AD87" s="36">
        <v>6.4015000000000004</v>
      </c>
      <c r="AE87" s="37">
        <v>6.3357000000000001</v>
      </c>
      <c r="AF87" s="35">
        <v>5.7751999999999999</v>
      </c>
      <c r="AG87" s="36">
        <v>6.2709999999999999</v>
      </c>
      <c r="AH87" s="36">
        <v>6.2770000000000001</v>
      </c>
      <c r="AI87" s="36">
        <v>5.6304999999999996</v>
      </c>
      <c r="AJ87" s="36">
        <v>5.6162000000000001</v>
      </c>
      <c r="AK87" s="36">
        <v>5.6814</v>
      </c>
      <c r="AL87" s="36">
        <v>5.2037000000000004</v>
      </c>
      <c r="AM87" s="36">
        <v>5.6319999999999997</v>
      </c>
      <c r="AN87" s="36">
        <v>5.5003000000000002</v>
      </c>
      <c r="AO87" s="36">
        <v>5.2228000000000003</v>
      </c>
      <c r="AP87" s="36">
        <v>5.4604999999999997</v>
      </c>
      <c r="AQ87" s="37">
        <v>5.4984000000000002</v>
      </c>
      <c r="AR87" s="35">
        <v>5.4417999999999997</v>
      </c>
      <c r="AS87" s="36">
        <v>6.5155000000000003</v>
      </c>
      <c r="AT87" s="36">
        <v>7.5864000000000003</v>
      </c>
      <c r="AU87" s="36">
        <v>8.0579999999999998</v>
      </c>
      <c r="AV87" s="36">
        <v>7.9428999999999998</v>
      </c>
      <c r="AW87" s="36">
        <v>7.6412000000000004</v>
      </c>
      <c r="AX87" s="36">
        <v>8.4205000000000005</v>
      </c>
      <c r="AY87" s="36">
        <v>8.9108999999999998</v>
      </c>
      <c r="AZ87" s="36">
        <v>8.8878000000000004</v>
      </c>
      <c r="BA87" s="36">
        <v>7.8394000000000004</v>
      </c>
      <c r="BB87" s="36">
        <v>8.3536000000000001</v>
      </c>
      <c r="BC87" s="37">
        <v>8.5433000000000003</v>
      </c>
      <c r="BD87" s="35">
        <v>8.8687000000000005</v>
      </c>
      <c r="BE87" s="36">
        <v>10.8819</v>
      </c>
      <c r="BF87" s="36">
        <v>12.7469</v>
      </c>
      <c r="BG87" s="36">
        <v>12.7118</v>
      </c>
      <c r="BH87" s="36">
        <v>13.2141</v>
      </c>
      <c r="BI87" s="36">
        <v>14.099500000000001</v>
      </c>
      <c r="BJ87" s="36">
        <v>15.8842</v>
      </c>
      <c r="BK87" s="36">
        <v>14.6584</v>
      </c>
      <c r="BL87" s="36">
        <v>17.7577</v>
      </c>
      <c r="BM87" s="36">
        <v>15.843400000000001</v>
      </c>
      <c r="BN87" s="36">
        <v>14.968999999999999</v>
      </c>
      <c r="BO87" s="37">
        <v>12.199</v>
      </c>
      <c r="BP87" s="35">
        <v>8.9603000000000002</v>
      </c>
      <c r="BQ87" s="36">
        <v>10.2233</v>
      </c>
      <c r="BR87" s="36">
        <v>9.8050999999999995</v>
      </c>
      <c r="BS87" s="36">
        <v>8.9992000000000001</v>
      </c>
      <c r="BT87" s="36">
        <f>13.2748-0.8704-0.0761-0.1133-0.2588-0.4004</f>
        <v>11.5558</v>
      </c>
      <c r="BU87" s="36">
        <f>12.5658-0.82-0.0599-0.1004-0.2574-0.4004</f>
        <v>10.927699999999998</v>
      </c>
      <c r="BV87" s="36">
        <f>12.3739-0.8022-0.0606-0.0956-0.2567-0.4004</f>
        <v>10.7584</v>
      </c>
      <c r="BW87" s="36">
        <v>11.7994</v>
      </c>
      <c r="BX87" s="54">
        <v>11.6319</v>
      </c>
      <c r="BY87" s="36">
        <v>12.529299999999999</v>
      </c>
      <c r="BZ87" s="36">
        <v>11.8735</v>
      </c>
      <c r="CA87" s="38">
        <v>10.603300000000001</v>
      </c>
      <c r="CB87" s="52">
        <v>11.105600000000001</v>
      </c>
      <c r="CC87" s="51">
        <v>10.7524</v>
      </c>
      <c r="CD87" s="45">
        <v>12.230499999999999</v>
      </c>
      <c r="CE87" s="45">
        <v>10.0875</v>
      </c>
      <c r="CF87" s="45">
        <v>10.7569</v>
      </c>
      <c r="CG87" s="45">
        <v>11.2689</v>
      </c>
      <c r="CH87" s="45">
        <v>11.613899999999999</v>
      </c>
      <c r="CI87" s="49">
        <v>10.4916</v>
      </c>
      <c r="CJ87" s="36">
        <v>13.2713</v>
      </c>
      <c r="CK87" s="45">
        <v>12.362500000000001</v>
      </c>
      <c r="CL87" s="45">
        <v>12.0213</v>
      </c>
      <c r="CM87" s="50">
        <v>11.0326</v>
      </c>
      <c r="CN87" s="36">
        <v>14.156700000000001</v>
      </c>
      <c r="CO87" s="45">
        <v>15.503399999999999</v>
      </c>
      <c r="CP87" s="45">
        <v>13.692</v>
      </c>
      <c r="CQ87" s="45"/>
      <c r="CR87" s="45"/>
      <c r="CS87" s="45"/>
      <c r="CT87" s="45"/>
      <c r="CU87" s="45"/>
      <c r="CV87" s="45"/>
      <c r="CW87" s="45"/>
      <c r="CX87" s="45"/>
      <c r="CY87" s="45"/>
    </row>
    <row r="88" spans="1:103" ht="45" customHeight="1">
      <c r="A88" s="39">
        <v>30</v>
      </c>
      <c r="B88" s="40" t="s">
        <v>281</v>
      </c>
      <c r="C88" s="41" t="s">
        <v>282</v>
      </c>
      <c r="D88" s="41" t="s">
        <v>107</v>
      </c>
      <c r="E88" s="41" t="s">
        <v>154</v>
      </c>
      <c r="F88" s="41" t="s">
        <v>118</v>
      </c>
      <c r="G88" s="42" t="s">
        <v>110</v>
      </c>
      <c r="H88" s="35"/>
      <c r="I88" s="36"/>
      <c r="J88" s="36"/>
      <c r="K88" s="36"/>
      <c r="L88" s="36"/>
      <c r="M88" s="36"/>
      <c r="N88" s="36"/>
      <c r="O88" s="36"/>
      <c r="P88" s="36"/>
      <c r="Q88" s="36"/>
      <c r="R88" s="36"/>
      <c r="S88" s="37"/>
      <c r="T88" s="35"/>
      <c r="U88" s="36"/>
      <c r="V88" s="36"/>
      <c r="W88" s="36"/>
      <c r="X88" s="36"/>
      <c r="Y88" s="36"/>
      <c r="Z88" s="36"/>
      <c r="AA88" s="36"/>
      <c r="AB88" s="36"/>
      <c r="AC88" s="36"/>
      <c r="AD88" s="36"/>
      <c r="AE88" s="37"/>
      <c r="AF88" s="35"/>
      <c r="AG88" s="36"/>
      <c r="AH88" s="36"/>
      <c r="AI88" s="36"/>
      <c r="AJ88" s="36"/>
      <c r="AK88" s="36"/>
      <c r="AL88" s="36"/>
      <c r="AM88" s="36"/>
      <c r="AN88" s="36"/>
      <c r="AO88" s="36"/>
      <c r="AP88" s="36"/>
      <c r="AQ88" s="37"/>
      <c r="AR88" s="35"/>
      <c r="AS88" s="36"/>
      <c r="AT88" s="36"/>
      <c r="AU88" s="36"/>
      <c r="AV88" s="36"/>
      <c r="AW88" s="36"/>
      <c r="AX88" s="36"/>
      <c r="AY88" s="36"/>
      <c r="AZ88" s="36"/>
      <c r="BA88" s="36"/>
      <c r="BB88" s="36"/>
      <c r="BC88" s="37"/>
      <c r="BD88" s="35">
        <v>10.038600000000001</v>
      </c>
      <c r="BE88" s="36">
        <v>11.6927</v>
      </c>
      <c r="BF88" s="36">
        <v>13.427</v>
      </c>
      <c r="BG88" s="36">
        <v>12.7217</v>
      </c>
      <c r="BH88" s="36">
        <v>12.6798</v>
      </c>
      <c r="BI88" s="36">
        <v>13.9148</v>
      </c>
      <c r="BJ88" s="36">
        <v>14.9255</v>
      </c>
      <c r="BK88" s="36">
        <v>13.9681</v>
      </c>
      <c r="BL88" s="36">
        <v>17.033999999999999</v>
      </c>
      <c r="BM88" s="36">
        <v>15.9711</v>
      </c>
      <c r="BN88" s="36">
        <v>14.857100000000001</v>
      </c>
      <c r="BO88" s="37">
        <v>11.666</v>
      </c>
      <c r="BP88" s="35">
        <v>11.5181</v>
      </c>
      <c r="BQ88" s="36">
        <v>9.1875</v>
      </c>
      <c r="BR88" s="47">
        <v>15.365500000000001</v>
      </c>
      <c r="BS88" s="36">
        <v>13.302</v>
      </c>
      <c r="BT88" s="36">
        <v>13.254200000000001</v>
      </c>
      <c r="BU88" s="36">
        <v>12.912000000000001</v>
      </c>
      <c r="BV88" s="36">
        <v>12.426299999999999</v>
      </c>
      <c r="BW88" s="36">
        <v>11.5769</v>
      </c>
      <c r="BX88" s="36">
        <v>11.2973</v>
      </c>
      <c r="BY88" s="36">
        <v>11.716699999999999</v>
      </c>
      <c r="BZ88" s="36">
        <v>13.465199999999999</v>
      </c>
      <c r="CA88" s="38">
        <v>11.8475</v>
      </c>
      <c r="CB88" s="43">
        <v>12.292</v>
      </c>
      <c r="CC88" s="44">
        <v>10.7857</v>
      </c>
      <c r="CD88" s="44">
        <v>11.531499999999999</v>
      </c>
      <c r="CE88" s="45">
        <v>10.954499999999999</v>
      </c>
      <c r="CF88" s="44">
        <v>10.7928</v>
      </c>
      <c r="CG88" s="45">
        <v>12.102499999999999</v>
      </c>
      <c r="CH88" s="44">
        <v>12.4581</v>
      </c>
      <c r="CI88" s="44">
        <v>12.4399</v>
      </c>
      <c r="CJ88" s="44">
        <v>13.7803</v>
      </c>
      <c r="CK88" s="44">
        <v>11.763400000000001</v>
      </c>
      <c r="CL88" s="44">
        <v>12.1999</v>
      </c>
      <c r="CM88" s="46">
        <v>11.5213</v>
      </c>
      <c r="CN88" s="44">
        <v>13.3126</v>
      </c>
      <c r="CO88" s="44">
        <v>15.6531</v>
      </c>
      <c r="CP88" s="36">
        <v>14.847899999999999</v>
      </c>
      <c r="CQ88" s="44">
        <v>13.1433</v>
      </c>
      <c r="CR88" s="44"/>
      <c r="CS88" s="44"/>
      <c r="CT88" s="44"/>
      <c r="CU88" s="44"/>
      <c r="CV88" s="44"/>
      <c r="CW88" s="44"/>
      <c r="CX88" s="44"/>
      <c r="CY88" s="44"/>
    </row>
    <row r="89" spans="1:103" ht="45" customHeight="1">
      <c r="A89" s="39">
        <v>143</v>
      </c>
      <c r="B89" s="40" t="s">
        <v>283</v>
      </c>
      <c r="C89" s="41" t="s">
        <v>284</v>
      </c>
      <c r="D89" s="41" t="s">
        <v>107</v>
      </c>
      <c r="E89" s="41" t="s">
        <v>144</v>
      </c>
      <c r="F89" s="41" t="s">
        <v>109</v>
      </c>
      <c r="G89" s="42" t="s">
        <v>151</v>
      </c>
      <c r="H89" s="35"/>
      <c r="I89" s="36"/>
      <c r="J89" s="36"/>
      <c r="K89" s="36"/>
      <c r="L89" s="36"/>
      <c r="M89" s="36"/>
      <c r="N89" s="36"/>
      <c r="O89" s="36"/>
      <c r="P89" s="36"/>
      <c r="Q89" s="36"/>
      <c r="R89" s="36"/>
      <c r="S89" s="37"/>
      <c r="T89" s="35"/>
      <c r="U89" s="36"/>
      <c r="V89" s="36"/>
      <c r="W89" s="36"/>
      <c r="X89" s="36"/>
      <c r="Y89" s="36"/>
      <c r="Z89" s="36"/>
      <c r="AA89" s="36"/>
      <c r="AB89" s="36"/>
      <c r="AC89" s="36"/>
      <c r="AD89" s="36"/>
      <c r="AE89" s="37"/>
      <c r="AF89" s="35"/>
      <c r="AG89" s="36"/>
      <c r="AH89" s="36"/>
      <c r="AI89" s="36"/>
      <c r="AJ89" s="36"/>
      <c r="AK89" s="36"/>
      <c r="AL89" s="36"/>
      <c r="AM89" s="36"/>
      <c r="AN89" s="36"/>
      <c r="AO89" s="36"/>
      <c r="AP89" s="36"/>
      <c r="AQ89" s="37"/>
      <c r="AR89" s="35"/>
      <c r="AS89" s="36"/>
      <c r="AT89" s="36"/>
      <c r="AU89" s="36"/>
      <c r="AV89" s="36"/>
      <c r="AW89" s="36"/>
      <c r="AX89" s="36"/>
      <c r="AY89" s="36"/>
      <c r="AZ89" s="36"/>
      <c r="BA89" s="36"/>
      <c r="BB89" s="36"/>
      <c r="BC89" s="37"/>
      <c r="BD89" s="35"/>
      <c r="BE89" s="36"/>
      <c r="BF89" s="36"/>
      <c r="BG89" s="36"/>
      <c r="BH89" s="36"/>
      <c r="BI89" s="36"/>
      <c r="BJ89" s="36">
        <v>16.163599999999999</v>
      </c>
      <c r="BK89" s="36">
        <v>14.231400000000001</v>
      </c>
      <c r="BL89" s="36">
        <v>11.202500000000001</v>
      </c>
      <c r="BM89" s="36">
        <v>15.692299999999999</v>
      </c>
      <c r="BN89" s="36">
        <v>14.4786</v>
      </c>
      <c r="BO89" s="37">
        <v>15.039</v>
      </c>
      <c r="BP89" s="35"/>
      <c r="BQ89" s="36">
        <v>9.7632999999999992</v>
      </c>
      <c r="BR89" s="47">
        <v>14.0093</v>
      </c>
      <c r="BS89" s="36">
        <v>11.0609</v>
      </c>
      <c r="BT89" s="36"/>
      <c r="BU89" s="36">
        <v>12.116199999999999</v>
      </c>
      <c r="BV89" s="36">
        <v>9.9388000000000005</v>
      </c>
      <c r="BW89" s="36">
        <v>8.8180999999999994</v>
      </c>
      <c r="BX89" s="36">
        <v>7.9810999999999996</v>
      </c>
      <c r="BY89" s="36">
        <v>8.8323999999999998</v>
      </c>
      <c r="BZ89" s="36">
        <v>11.4681</v>
      </c>
      <c r="CA89" s="38">
        <v>7.1513</v>
      </c>
      <c r="CB89" s="35">
        <v>9.0564</v>
      </c>
      <c r="CC89" s="36">
        <v>10.204700000000001</v>
      </c>
      <c r="CD89" s="36">
        <v>8.9356000000000009</v>
      </c>
      <c r="CE89" s="36">
        <v>9.4687000000000001</v>
      </c>
      <c r="CF89" s="36">
        <v>11.2949</v>
      </c>
      <c r="CG89" s="36">
        <v>7.6825999999999999</v>
      </c>
      <c r="CH89" s="36">
        <v>12.859</v>
      </c>
      <c r="CI89" s="36">
        <v>10.94</v>
      </c>
      <c r="CJ89" s="36">
        <v>11.79</v>
      </c>
      <c r="CK89" s="36">
        <v>6.19</v>
      </c>
      <c r="CL89" s="36">
        <v>6.43</v>
      </c>
      <c r="CM89" s="38">
        <v>7.48</v>
      </c>
      <c r="CN89" s="70">
        <v>7.19</v>
      </c>
      <c r="CO89" s="70">
        <v>7.23</v>
      </c>
      <c r="CP89" s="70"/>
      <c r="CQ89" s="70"/>
      <c r="CR89" s="70"/>
      <c r="CS89" s="70"/>
      <c r="CT89" s="70"/>
      <c r="CU89" s="70"/>
      <c r="CV89" s="70"/>
      <c r="CW89" s="70"/>
      <c r="CX89" s="70"/>
      <c r="CY89" s="70"/>
    </row>
    <row r="90" spans="1:103" ht="45" customHeight="1">
      <c r="A90" s="39">
        <v>127</v>
      </c>
      <c r="B90" s="40" t="s">
        <v>285</v>
      </c>
      <c r="C90" s="41" t="s">
        <v>286</v>
      </c>
      <c r="D90" s="41" t="s">
        <v>134</v>
      </c>
      <c r="E90" s="41" t="s">
        <v>157</v>
      </c>
      <c r="F90" s="41" t="s">
        <v>109</v>
      </c>
      <c r="G90" s="42" t="s">
        <v>110</v>
      </c>
      <c r="H90" s="35"/>
      <c r="I90" s="36"/>
      <c r="J90" s="36"/>
      <c r="K90" s="36"/>
      <c r="L90" s="36"/>
      <c r="M90" s="36"/>
      <c r="N90" s="36"/>
      <c r="O90" s="36"/>
      <c r="P90" s="36"/>
      <c r="Q90" s="36"/>
      <c r="R90" s="36"/>
      <c r="S90" s="37"/>
      <c r="T90" s="35"/>
      <c r="U90" s="36"/>
      <c r="V90" s="36"/>
      <c r="W90" s="36"/>
      <c r="X90" s="36"/>
      <c r="Y90" s="36"/>
      <c r="Z90" s="36"/>
      <c r="AA90" s="36"/>
      <c r="AB90" s="36"/>
      <c r="AC90" s="36"/>
      <c r="AD90" s="36"/>
      <c r="AE90" s="37"/>
      <c r="AF90" s="35"/>
      <c r="AG90" s="36"/>
      <c r="AH90" s="36"/>
      <c r="AI90" s="36"/>
      <c r="AJ90" s="36"/>
      <c r="AK90" s="36"/>
      <c r="AL90" s="36"/>
      <c r="AM90" s="36"/>
      <c r="AN90" s="36"/>
      <c r="AO90" s="36"/>
      <c r="AP90" s="36"/>
      <c r="AQ90" s="37"/>
      <c r="AR90" s="35"/>
      <c r="AS90" s="36"/>
      <c r="AT90" s="36"/>
      <c r="AU90" s="36"/>
      <c r="AV90" s="36"/>
      <c r="AW90" s="36"/>
      <c r="AX90" s="36"/>
      <c r="AY90" s="36"/>
      <c r="AZ90" s="36"/>
      <c r="BA90" s="36"/>
      <c r="BB90" s="36"/>
      <c r="BC90" s="37"/>
      <c r="BD90" s="35"/>
      <c r="BE90" s="36"/>
      <c r="BF90" s="36"/>
      <c r="BG90" s="36"/>
      <c r="BH90" s="36"/>
      <c r="BI90" s="36"/>
      <c r="BJ90" s="36"/>
      <c r="BK90" s="36"/>
      <c r="BL90" s="36"/>
      <c r="BM90" s="36"/>
      <c r="BN90" s="36"/>
      <c r="BO90" s="37"/>
      <c r="BP90" s="35">
        <v>13.866400000000002</v>
      </c>
      <c r="BQ90" s="36">
        <v>14.485100000000001</v>
      </c>
      <c r="BR90" s="36">
        <v>13.250499999999999</v>
      </c>
      <c r="BS90" s="36">
        <v>14.371599999999999</v>
      </c>
      <c r="BT90" s="36">
        <v>14.320299999999991</v>
      </c>
      <c r="BU90" s="36">
        <v>14.491699999999998</v>
      </c>
      <c r="BV90" s="36">
        <v>14.465799999999998</v>
      </c>
      <c r="BW90" s="36">
        <v>14.505699999999999</v>
      </c>
      <c r="BX90" s="36">
        <v>14.504299999999997</v>
      </c>
      <c r="BY90" s="36">
        <v>14.541600000000001</v>
      </c>
      <c r="BZ90" s="36">
        <v>14.534399999999994</v>
      </c>
      <c r="CA90" s="38">
        <v>14.544599999999999</v>
      </c>
      <c r="CB90" s="35">
        <v>14.546799999999994</v>
      </c>
      <c r="CC90" s="36">
        <v>14.370900000000001</v>
      </c>
      <c r="CD90" s="36">
        <v>14.347799999999999</v>
      </c>
      <c r="CE90" s="36">
        <v>14.987399999999999</v>
      </c>
      <c r="CF90" s="36">
        <v>15.105600000000001</v>
      </c>
      <c r="CG90" s="36">
        <v>14.9061</v>
      </c>
      <c r="CH90" s="36">
        <v>14.9468</v>
      </c>
      <c r="CI90" s="36"/>
      <c r="CJ90" s="36"/>
      <c r="CK90" s="36"/>
      <c r="CL90" s="36"/>
      <c r="CM90" s="38"/>
      <c r="CN90" s="36"/>
      <c r="CO90" s="36"/>
      <c r="CP90" s="36"/>
      <c r="CQ90" s="36"/>
      <c r="CR90" s="36"/>
      <c r="CS90" s="36"/>
      <c r="CT90" s="36"/>
      <c r="CU90" s="36"/>
      <c r="CV90" s="36"/>
      <c r="CW90" s="36"/>
      <c r="CX90" s="36"/>
      <c r="CY90" s="36"/>
    </row>
    <row r="91" spans="1:103" ht="45" customHeight="1">
      <c r="A91" s="39">
        <v>106</v>
      </c>
      <c r="B91" s="40" t="s">
        <v>287</v>
      </c>
      <c r="C91" s="41" t="s">
        <v>288</v>
      </c>
      <c r="D91" s="41" t="s">
        <v>107</v>
      </c>
      <c r="E91" s="41" t="s">
        <v>203</v>
      </c>
      <c r="F91" s="41" t="s">
        <v>109</v>
      </c>
      <c r="G91" s="42" t="s">
        <v>114</v>
      </c>
      <c r="H91" s="35">
        <v>10.0524</v>
      </c>
      <c r="I91" s="36">
        <v>10.154500000000001</v>
      </c>
      <c r="J91" s="36">
        <v>10.374499999999999</v>
      </c>
      <c r="K91" s="36">
        <v>10.792</v>
      </c>
      <c r="L91" s="36">
        <v>10.5802</v>
      </c>
      <c r="M91" s="36">
        <v>10.526300000000001</v>
      </c>
      <c r="N91" s="36">
        <v>10.369</v>
      </c>
      <c r="O91" s="36">
        <v>10.7621</v>
      </c>
      <c r="P91" s="36">
        <v>10.9816</v>
      </c>
      <c r="Q91" s="36">
        <v>10.9681</v>
      </c>
      <c r="R91" s="36">
        <v>10.971299999999999</v>
      </c>
      <c r="S91" s="37">
        <v>9.9192999999999998</v>
      </c>
      <c r="T91" s="35">
        <v>10.7178</v>
      </c>
      <c r="U91" s="36">
        <v>10.2979</v>
      </c>
      <c r="V91" s="36">
        <v>10.400700000000001</v>
      </c>
      <c r="W91" s="36">
        <v>10.6784</v>
      </c>
      <c r="X91" s="36">
        <v>9.9128000000000007</v>
      </c>
      <c r="Y91" s="36">
        <v>10.0128</v>
      </c>
      <c r="Z91" s="36">
        <v>9.6077999999999992</v>
      </c>
      <c r="AA91" s="36">
        <v>9.1173999999999999</v>
      </c>
      <c r="AB91" s="36"/>
      <c r="AC91" s="36"/>
      <c r="AD91" s="36">
        <v>8.8093000000000004</v>
      </c>
      <c r="AE91" s="37">
        <v>8.6967999999999996</v>
      </c>
      <c r="AF91" s="35">
        <v>8.7443000000000008</v>
      </c>
      <c r="AG91" s="36">
        <v>9.0176999999999996</v>
      </c>
      <c r="AH91" s="36">
        <v>9.2576000000000001</v>
      </c>
      <c r="AI91" s="36">
        <v>9.1376000000000008</v>
      </c>
      <c r="AJ91" s="36">
        <v>8.5945</v>
      </c>
      <c r="AK91" s="36">
        <v>8.2588000000000008</v>
      </c>
      <c r="AL91" s="36">
        <v>8.5808999999999997</v>
      </c>
      <c r="AM91" s="36">
        <v>8.3605999999999998</v>
      </c>
      <c r="AN91" s="36">
        <v>8.1395999999999997</v>
      </c>
      <c r="AO91" s="36">
        <v>8.2845999999999993</v>
      </c>
      <c r="AP91" s="36">
        <v>8.2596000000000007</v>
      </c>
      <c r="AQ91" s="37">
        <v>8.2826000000000004</v>
      </c>
      <c r="AR91" s="35">
        <v>8.1265000000000001</v>
      </c>
      <c r="AS91" s="36">
        <v>8.5010999999999992</v>
      </c>
      <c r="AT91" s="36">
        <v>8.7346000000000004</v>
      </c>
      <c r="AU91" s="36">
        <v>8.7315000000000005</v>
      </c>
      <c r="AV91" s="36">
        <v>8.2461000000000002</v>
      </c>
      <c r="AW91" s="36">
        <v>8.6991999999999994</v>
      </c>
      <c r="AX91" s="36">
        <v>8.6768000000000001</v>
      </c>
      <c r="AY91" s="36">
        <v>8.3339999999999996</v>
      </c>
      <c r="AZ91" s="36">
        <v>8.4442000000000004</v>
      </c>
      <c r="BA91" s="36">
        <v>8.4376999999999995</v>
      </c>
      <c r="BB91" s="36">
        <v>8.3926999999999996</v>
      </c>
      <c r="BC91" s="37">
        <v>8.391</v>
      </c>
      <c r="BD91" s="35">
        <v>8.0580999999999996</v>
      </c>
      <c r="BE91" s="36">
        <v>8.0955999999999992</v>
      </c>
      <c r="BF91" s="36">
        <v>8.1094000000000008</v>
      </c>
      <c r="BG91" s="36">
        <v>8.2114999999999991</v>
      </c>
      <c r="BH91" s="36">
        <v>8.0685000000000002</v>
      </c>
      <c r="BI91" s="36">
        <v>8.0229999999999997</v>
      </c>
      <c r="BJ91" s="36">
        <v>8.0373999999999999</v>
      </c>
      <c r="BK91" s="36">
        <v>8.2073999999999998</v>
      </c>
      <c r="BL91" s="36">
        <v>8.1682000000000006</v>
      </c>
      <c r="BM91" s="36">
        <v>8.0845000000000002</v>
      </c>
      <c r="BN91" s="36">
        <v>8.1021000000000001</v>
      </c>
      <c r="BO91" s="37">
        <v>8.0888000000000009</v>
      </c>
      <c r="BP91" s="35">
        <v>7.9268999999999998</v>
      </c>
      <c r="BQ91" s="36">
        <v>7.8604000000000003</v>
      </c>
      <c r="BR91" s="36">
        <v>7.9204999999999997</v>
      </c>
      <c r="BS91" s="36">
        <v>8.0137999999999998</v>
      </c>
      <c r="BT91" s="36">
        <v>7.5865</v>
      </c>
      <c r="BU91" s="36">
        <v>7.585</v>
      </c>
      <c r="BV91" s="36">
        <v>7.6660000000000004</v>
      </c>
      <c r="BW91" s="36">
        <v>7.6407999999999996</v>
      </c>
      <c r="BX91" s="36">
        <v>7.6755000000000004</v>
      </c>
      <c r="BY91" s="36">
        <v>7.7321</v>
      </c>
      <c r="BZ91" s="36">
        <v>7.8468</v>
      </c>
      <c r="CA91" s="38">
        <v>7.7957000000000001</v>
      </c>
      <c r="CB91" s="52">
        <v>7.8183999999999996</v>
      </c>
      <c r="CC91" s="51">
        <v>7.8121</v>
      </c>
      <c r="CD91" s="44">
        <v>8.3280999999999992</v>
      </c>
      <c r="CE91" s="45">
        <v>7.8033000000000001</v>
      </c>
      <c r="CF91" s="44">
        <v>7.5667</v>
      </c>
      <c r="CG91" s="44">
        <v>7.7824</v>
      </c>
      <c r="CH91" s="36">
        <v>7.6710000000000003</v>
      </c>
      <c r="CI91" s="49">
        <v>7.7550999999999997</v>
      </c>
      <c r="CJ91" s="49">
        <v>8.9480000000000004</v>
      </c>
      <c r="CK91" s="36">
        <v>8.2888999999999999</v>
      </c>
      <c r="CL91" s="36">
        <v>12.241099999999999</v>
      </c>
      <c r="CM91" s="38">
        <v>12.1517</v>
      </c>
      <c r="CN91" s="49">
        <v>12.177199999999999</v>
      </c>
      <c r="CO91" s="36">
        <v>12.291700000000001</v>
      </c>
      <c r="CP91" s="36">
        <v>12.467599999999999</v>
      </c>
      <c r="CQ91" s="36">
        <v>12.5578</v>
      </c>
      <c r="CR91" s="36"/>
      <c r="CS91" s="36"/>
      <c r="CT91" s="36"/>
      <c r="CU91" s="36"/>
      <c r="CV91" s="36"/>
      <c r="CW91" s="36"/>
      <c r="CX91" s="36"/>
      <c r="CY91" s="36"/>
    </row>
    <row r="92" spans="1:103" ht="45" customHeight="1">
      <c r="A92" s="39">
        <v>52</v>
      </c>
      <c r="B92" s="40" t="s">
        <v>289</v>
      </c>
      <c r="C92" s="41" t="s">
        <v>290</v>
      </c>
      <c r="D92" s="41" t="s">
        <v>107</v>
      </c>
      <c r="E92" s="41" t="s">
        <v>203</v>
      </c>
      <c r="F92" s="41" t="s">
        <v>109</v>
      </c>
      <c r="G92" s="42" t="s">
        <v>110</v>
      </c>
      <c r="H92" s="35">
        <v>9.2306000000000008</v>
      </c>
      <c r="I92" s="36">
        <v>9.2187999999999999</v>
      </c>
      <c r="J92" s="36">
        <v>10.333500000000001</v>
      </c>
      <c r="K92" s="36">
        <v>10.4589</v>
      </c>
      <c r="L92" s="36">
        <v>10.386100000000001</v>
      </c>
      <c r="M92" s="36">
        <v>10.0869</v>
      </c>
      <c r="N92" s="36">
        <v>10.551</v>
      </c>
      <c r="O92" s="36">
        <v>9.952</v>
      </c>
      <c r="P92" s="36">
        <v>9.6828000000000003</v>
      </c>
      <c r="Q92" s="36">
        <v>9.7615999999999996</v>
      </c>
      <c r="R92" s="36">
        <v>9.5725999999999996</v>
      </c>
      <c r="S92" s="37">
        <v>9.3979999999999997</v>
      </c>
      <c r="T92" s="35">
        <v>10.065799999999999</v>
      </c>
      <c r="U92" s="36">
        <v>10.2597</v>
      </c>
      <c r="V92" s="36">
        <v>10.158200000000001</v>
      </c>
      <c r="W92" s="36">
        <v>10.800599999999999</v>
      </c>
      <c r="X92" s="36">
        <v>10.862399999999999</v>
      </c>
      <c r="Y92" s="36">
        <v>10.598800000000001</v>
      </c>
      <c r="Z92" s="36">
        <v>10.7003</v>
      </c>
      <c r="AA92" s="36">
        <v>9.7515999999999998</v>
      </c>
      <c r="AB92" s="36">
        <v>10.016</v>
      </c>
      <c r="AC92" s="36">
        <v>9.7428000000000008</v>
      </c>
      <c r="AD92" s="36">
        <v>9.5523000000000007</v>
      </c>
      <c r="AE92" s="37">
        <v>9.6935000000000002</v>
      </c>
      <c r="AF92" s="35">
        <v>10.247299999999999</v>
      </c>
      <c r="AG92" s="36">
        <v>9.8506999999999998</v>
      </c>
      <c r="AH92" s="36">
        <v>9.3978999999999999</v>
      </c>
      <c r="AI92" s="36">
        <v>9.1544000000000008</v>
      </c>
      <c r="AJ92" s="36">
        <v>9.6350999999999996</v>
      </c>
      <c r="AK92" s="36">
        <v>8.9387000000000008</v>
      </c>
      <c r="AL92" s="36">
        <v>9.1898999999999997</v>
      </c>
      <c r="AM92" s="36">
        <v>8.8272999999999993</v>
      </c>
      <c r="AN92" s="36">
        <v>8.3340999999999994</v>
      </c>
      <c r="AO92" s="36">
        <v>9.0335999999999999</v>
      </c>
      <c r="AP92" s="36">
        <v>8.3416999999999994</v>
      </c>
      <c r="AQ92" s="37">
        <v>8.3638999999999992</v>
      </c>
      <c r="AR92" s="35">
        <v>9.0403000000000002</v>
      </c>
      <c r="AS92" s="36">
        <v>8.8094999999999999</v>
      </c>
      <c r="AT92" s="36">
        <v>9.02</v>
      </c>
      <c r="AU92" s="36">
        <v>9.5630000000000006</v>
      </c>
      <c r="AV92" s="36">
        <v>9.3543000000000003</v>
      </c>
      <c r="AW92" s="36">
        <v>10.401899999999999</v>
      </c>
      <c r="AX92" s="36">
        <v>10.545199999999999</v>
      </c>
      <c r="AY92" s="36">
        <v>10.3185</v>
      </c>
      <c r="AZ92" s="36">
        <v>10.491899999999999</v>
      </c>
      <c r="BA92" s="36">
        <v>10.8179</v>
      </c>
      <c r="BB92" s="36">
        <v>11.410299999999999</v>
      </c>
      <c r="BC92" s="37">
        <v>11.918900000000001</v>
      </c>
      <c r="BD92" s="35">
        <v>14.2638</v>
      </c>
      <c r="BE92" s="36">
        <v>13.340299999999999</v>
      </c>
      <c r="BF92" s="36">
        <v>12.708399999999999</v>
      </c>
      <c r="BG92" s="36">
        <v>13.3239</v>
      </c>
      <c r="BH92" s="36">
        <v>13.330299999999999</v>
      </c>
      <c r="BI92" s="36">
        <v>14.421200000000001</v>
      </c>
      <c r="BJ92" s="36">
        <v>15.545299999999999</v>
      </c>
      <c r="BK92" s="36">
        <v>16.5154</v>
      </c>
      <c r="BL92" s="36">
        <v>15.151199999999999</v>
      </c>
      <c r="BM92" s="36">
        <v>17.2441</v>
      </c>
      <c r="BN92" s="36">
        <v>16.4039</v>
      </c>
      <c r="BO92" s="37">
        <v>16.6068</v>
      </c>
      <c r="BP92" s="35">
        <v>14.757</v>
      </c>
      <c r="BQ92" s="36">
        <v>15.8406</v>
      </c>
      <c r="BR92" s="36">
        <v>15.366400000000001</v>
      </c>
      <c r="BS92" s="36">
        <v>13.934200000000001</v>
      </c>
      <c r="BT92" s="36">
        <v>12.839399999999999</v>
      </c>
      <c r="BU92" s="36">
        <v>13.7775</v>
      </c>
      <c r="BV92" s="36">
        <v>13.3599</v>
      </c>
      <c r="BW92" s="36">
        <v>12.7546</v>
      </c>
      <c r="BX92" s="36">
        <v>8.5427999999999997</v>
      </c>
      <c r="BY92" s="36">
        <v>9.4473000000000003</v>
      </c>
      <c r="BZ92" s="36">
        <v>11.5877</v>
      </c>
      <c r="CA92" s="38">
        <v>11.6814</v>
      </c>
      <c r="CB92" s="48">
        <v>10.959</v>
      </c>
      <c r="CC92" s="51">
        <v>11.0274</v>
      </c>
      <c r="CD92" s="45">
        <v>10.913</v>
      </c>
      <c r="CE92" s="45">
        <v>11.9932</v>
      </c>
      <c r="CF92" s="45">
        <v>11.5106</v>
      </c>
      <c r="CG92" s="45">
        <v>11.558</v>
      </c>
      <c r="CH92" s="45">
        <v>12.0321</v>
      </c>
      <c r="CI92" s="45">
        <v>9.8125999999999998</v>
      </c>
      <c r="CJ92" s="45">
        <v>12.310499999999999</v>
      </c>
      <c r="CK92" s="45">
        <v>12.287800000000001</v>
      </c>
      <c r="CL92" s="45">
        <v>10.855</v>
      </c>
      <c r="CM92" s="50">
        <v>10.9421</v>
      </c>
      <c r="CN92" s="45">
        <v>10.2393</v>
      </c>
      <c r="CO92" s="45">
        <v>10.9421</v>
      </c>
      <c r="CP92" s="45">
        <v>10.9528</v>
      </c>
      <c r="CQ92" s="45"/>
      <c r="CR92" s="45"/>
      <c r="CS92" s="45"/>
      <c r="CT92" s="45"/>
      <c r="CU92" s="45"/>
      <c r="CV92" s="45"/>
      <c r="CW92" s="45"/>
      <c r="CX92" s="45"/>
      <c r="CY92" s="45"/>
    </row>
    <row r="93" spans="1:103" ht="45" customHeight="1">
      <c r="A93" s="39">
        <v>73</v>
      </c>
      <c r="B93" s="40" t="s">
        <v>291</v>
      </c>
      <c r="C93" s="41" t="s">
        <v>292</v>
      </c>
      <c r="D93" s="41" t="s">
        <v>107</v>
      </c>
      <c r="E93" s="41" t="s">
        <v>138</v>
      </c>
      <c r="F93" s="41" t="s">
        <v>125</v>
      </c>
      <c r="G93" s="42" t="s">
        <v>110</v>
      </c>
      <c r="H93" s="35"/>
      <c r="I93" s="36"/>
      <c r="J93" s="36"/>
      <c r="K93" s="36"/>
      <c r="L93" s="36"/>
      <c r="M93" s="36"/>
      <c r="N93" s="36"/>
      <c r="O93" s="36"/>
      <c r="P93" s="36"/>
      <c r="Q93" s="36"/>
      <c r="R93" s="36"/>
      <c r="S93" s="37"/>
      <c r="T93" s="35"/>
      <c r="U93" s="36"/>
      <c r="V93" s="36"/>
      <c r="W93" s="36"/>
      <c r="X93" s="36"/>
      <c r="Y93" s="36"/>
      <c r="Z93" s="36"/>
      <c r="AA93" s="36"/>
      <c r="AB93" s="36"/>
      <c r="AC93" s="36"/>
      <c r="AD93" s="36"/>
      <c r="AE93" s="37"/>
      <c r="AF93" s="35"/>
      <c r="AG93" s="36"/>
      <c r="AH93" s="36"/>
      <c r="AI93" s="36"/>
      <c r="AJ93" s="36"/>
      <c r="AK93" s="36"/>
      <c r="AL93" s="36"/>
      <c r="AM93" s="36"/>
      <c r="AN93" s="36"/>
      <c r="AO93" s="36"/>
      <c r="AP93" s="36"/>
      <c r="AQ93" s="37"/>
      <c r="AR93" s="35"/>
      <c r="AS93" s="36"/>
      <c r="AT93" s="36"/>
      <c r="AU93" s="36"/>
      <c r="AV93" s="36"/>
      <c r="AW93" s="36"/>
      <c r="AX93" s="36"/>
      <c r="AY93" s="36"/>
      <c r="AZ93" s="36"/>
      <c r="BA93" s="36"/>
      <c r="BB93" s="36"/>
      <c r="BC93" s="37"/>
      <c r="BD93" s="35"/>
      <c r="BE93" s="36"/>
      <c r="BF93" s="36"/>
      <c r="BG93" s="36"/>
      <c r="BH93" s="36"/>
      <c r="BI93" s="36"/>
      <c r="BJ93" s="36"/>
      <c r="BK93" s="36"/>
      <c r="BL93" s="36"/>
      <c r="BM93" s="36"/>
      <c r="BN93" s="36"/>
      <c r="BO93" s="37"/>
      <c r="BP93" s="35"/>
      <c r="BQ93" s="36"/>
      <c r="BR93" s="36">
        <v>12.382899999999999</v>
      </c>
      <c r="BS93" s="36">
        <v>11.625999999999999</v>
      </c>
      <c r="BT93" s="36"/>
      <c r="BU93" s="36"/>
      <c r="BV93" s="36"/>
      <c r="BW93" s="36"/>
      <c r="BX93" s="36"/>
      <c r="BY93" s="36"/>
      <c r="BZ93" s="36"/>
      <c r="CA93" s="38"/>
      <c r="CB93" s="35"/>
      <c r="CC93" s="36"/>
      <c r="CD93" s="36"/>
      <c r="CE93" s="36"/>
      <c r="CF93" s="36"/>
      <c r="CG93" s="36"/>
      <c r="CH93" s="36"/>
      <c r="CI93" s="36"/>
      <c r="CJ93" s="36"/>
      <c r="CK93" s="36"/>
      <c r="CL93" s="36"/>
      <c r="CM93" s="38"/>
      <c r="CN93" s="67"/>
      <c r="CO93" s="67"/>
      <c r="CP93" s="67"/>
      <c r="CQ93" s="67"/>
      <c r="CR93" s="67"/>
      <c r="CS93" s="67"/>
      <c r="CT93" s="67"/>
      <c r="CU93" s="67"/>
      <c r="CV93" s="67"/>
      <c r="CW93" s="67"/>
      <c r="CX93" s="67"/>
      <c r="CY93" s="67"/>
    </row>
    <row r="94" spans="1:103" ht="45" customHeight="1">
      <c r="A94" s="39">
        <v>144</v>
      </c>
      <c r="B94" s="40" t="s">
        <v>293</v>
      </c>
      <c r="C94" s="41" t="s">
        <v>294</v>
      </c>
      <c r="D94" s="41" t="s">
        <v>107</v>
      </c>
      <c r="E94" s="41" t="s">
        <v>144</v>
      </c>
      <c r="F94" s="41" t="s">
        <v>109</v>
      </c>
      <c r="G94" s="42" t="s">
        <v>151</v>
      </c>
      <c r="H94" s="35"/>
      <c r="I94" s="36"/>
      <c r="J94" s="36"/>
      <c r="K94" s="36"/>
      <c r="L94" s="36"/>
      <c r="M94" s="36"/>
      <c r="N94" s="36"/>
      <c r="O94" s="36"/>
      <c r="P94" s="36"/>
      <c r="Q94" s="36"/>
      <c r="R94" s="36"/>
      <c r="S94" s="37"/>
      <c r="T94" s="35"/>
      <c r="U94" s="36"/>
      <c r="V94" s="36"/>
      <c r="W94" s="36"/>
      <c r="X94" s="36"/>
      <c r="Y94" s="36"/>
      <c r="Z94" s="36"/>
      <c r="AA94" s="36"/>
      <c r="AB94" s="36"/>
      <c r="AC94" s="36"/>
      <c r="AD94" s="36"/>
      <c r="AE94" s="37"/>
      <c r="AF94" s="35"/>
      <c r="AG94" s="36"/>
      <c r="AH94" s="36"/>
      <c r="AI94" s="36"/>
      <c r="AJ94" s="36"/>
      <c r="AK94" s="36"/>
      <c r="AL94" s="36"/>
      <c r="AM94" s="36"/>
      <c r="AN94" s="36"/>
      <c r="AO94" s="36"/>
      <c r="AP94" s="36"/>
      <c r="AQ94" s="37"/>
      <c r="AR94" s="35"/>
      <c r="AS94" s="36"/>
      <c r="AT94" s="36"/>
      <c r="AU94" s="36"/>
      <c r="AV94" s="36"/>
      <c r="AW94" s="36"/>
      <c r="AX94" s="36"/>
      <c r="AY94" s="36"/>
      <c r="AZ94" s="36"/>
      <c r="BA94" s="36"/>
      <c r="BB94" s="36"/>
      <c r="BC94" s="37"/>
      <c r="BD94" s="35"/>
      <c r="BE94" s="36"/>
      <c r="BF94" s="36"/>
      <c r="BG94" s="36"/>
      <c r="BH94" s="36"/>
      <c r="BI94" s="36"/>
      <c r="BJ94" s="36"/>
      <c r="BK94" s="36"/>
      <c r="BL94" s="36"/>
      <c r="BM94" s="36"/>
      <c r="BN94" s="36"/>
      <c r="BO94" s="37"/>
      <c r="BP94" s="35"/>
      <c r="BQ94" s="36"/>
      <c r="BR94" s="36">
        <f>10.9201-0.2228</f>
        <v>10.6973</v>
      </c>
      <c r="BS94" s="36">
        <f>10.3069-0.2228</f>
        <v>10.084100000000001</v>
      </c>
      <c r="BT94" s="36">
        <f>11.155-0.2661</f>
        <v>10.8889</v>
      </c>
      <c r="BU94" s="36">
        <v>11.940200000000001</v>
      </c>
      <c r="BV94" s="36">
        <v>8.3153000000000006</v>
      </c>
      <c r="BW94" s="36">
        <v>8.6328999999999994</v>
      </c>
      <c r="BX94" s="36">
        <v>8.4502000000000006</v>
      </c>
      <c r="BY94" s="36">
        <v>7.9791999999999996</v>
      </c>
      <c r="BZ94" s="36">
        <v>8.7439</v>
      </c>
      <c r="CA94" s="38">
        <f>6.8623+0.6691+0.9445+0.8005+0.5396+0.2494+0.0428+0.0256+0.001-0.3</f>
        <v>9.8347999999999995</v>
      </c>
      <c r="CB94" s="48">
        <v>6.5837000000000003</v>
      </c>
      <c r="CC94" s="36">
        <v>7.3661000000000003</v>
      </c>
      <c r="CD94" s="45">
        <v>7.7895000000000003</v>
      </c>
      <c r="CE94" s="45">
        <v>8.1233000000000004</v>
      </c>
      <c r="CF94" s="45">
        <v>9.8648000000000007</v>
      </c>
      <c r="CG94" s="36">
        <v>6.2347000000000001</v>
      </c>
      <c r="CH94" s="36">
        <v>9.1742000000000008</v>
      </c>
      <c r="CI94" s="36">
        <v>10.82</v>
      </c>
      <c r="CJ94" s="45">
        <v>11.46</v>
      </c>
      <c r="CK94" s="45">
        <v>7.02</v>
      </c>
      <c r="CL94" s="45">
        <v>7.13</v>
      </c>
      <c r="CM94" s="50">
        <v>6.97</v>
      </c>
      <c r="CN94" s="45">
        <v>6.49</v>
      </c>
      <c r="CO94" s="45">
        <v>6.54</v>
      </c>
      <c r="CP94" s="45"/>
      <c r="CQ94" s="45"/>
      <c r="CR94" s="45"/>
      <c r="CS94" s="45"/>
      <c r="CT94" s="45"/>
      <c r="CU94" s="45"/>
      <c r="CV94" s="45"/>
      <c r="CW94" s="45"/>
      <c r="CX94" s="45"/>
      <c r="CY94" s="45"/>
    </row>
    <row r="95" spans="1:103" ht="45" customHeight="1">
      <c r="A95" s="39">
        <v>49</v>
      </c>
      <c r="B95" s="40" t="s">
        <v>295</v>
      </c>
      <c r="C95" s="41" t="s">
        <v>296</v>
      </c>
      <c r="D95" s="41" t="s">
        <v>134</v>
      </c>
      <c r="E95" s="41" t="s">
        <v>157</v>
      </c>
      <c r="F95" s="41" t="s">
        <v>109</v>
      </c>
      <c r="G95" s="42" t="s">
        <v>110</v>
      </c>
      <c r="H95" s="35">
        <v>9.4891000000000005</v>
      </c>
      <c r="I95" s="36">
        <v>9.5749999999999993</v>
      </c>
      <c r="J95" s="36">
        <v>9.5695999999999994</v>
      </c>
      <c r="K95" s="36">
        <v>9.5045000000000002</v>
      </c>
      <c r="L95" s="36">
        <v>8.7965999999999998</v>
      </c>
      <c r="M95" s="36">
        <v>8.7522000000000002</v>
      </c>
      <c r="N95" s="36">
        <v>8.7613000000000003</v>
      </c>
      <c r="O95" s="36">
        <v>8.7271999999999998</v>
      </c>
      <c r="P95" s="36">
        <v>8.7447999999999997</v>
      </c>
      <c r="Q95" s="36">
        <v>8.7700999999999993</v>
      </c>
      <c r="R95" s="36">
        <v>8.6723999999999997</v>
      </c>
      <c r="S95" s="37">
        <v>8.6705000000000005</v>
      </c>
      <c r="T95" s="35">
        <v>8.4911999999999992</v>
      </c>
      <c r="U95" s="36">
        <v>8.4929000000000006</v>
      </c>
      <c r="V95" s="36">
        <v>8.5031999999999996</v>
      </c>
      <c r="W95" s="36">
        <v>8.4886999999999997</v>
      </c>
      <c r="X95" s="36">
        <v>8.5443999999999996</v>
      </c>
      <c r="Y95" s="36">
        <v>8.5060000000000002</v>
      </c>
      <c r="Z95" s="36">
        <v>8.5714000000000006</v>
      </c>
      <c r="AA95" s="36">
        <v>8.5736000000000008</v>
      </c>
      <c r="AB95" s="36">
        <v>8.5793999999999997</v>
      </c>
      <c r="AC95" s="36">
        <v>8.5713000000000008</v>
      </c>
      <c r="AD95" s="36">
        <v>8.5545000000000009</v>
      </c>
      <c r="AE95" s="37">
        <v>8.4369999999999994</v>
      </c>
      <c r="AF95" s="35">
        <v>8.3774999999999995</v>
      </c>
      <c r="AG95" s="36">
        <v>8.4268999999999998</v>
      </c>
      <c r="AH95" s="36">
        <v>8.3278999999999996</v>
      </c>
      <c r="AI95" s="36">
        <v>8.3297000000000008</v>
      </c>
      <c r="AJ95" s="36">
        <v>8.2902000000000005</v>
      </c>
      <c r="AK95" s="36">
        <v>8.2553000000000001</v>
      </c>
      <c r="AL95" s="36">
        <v>8.2524999999999995</v>
      </c>
      <c r="AM95" s="36">
        <v>8.2547999999999995</v>
      </c>
      <c r="AN95" s="36">
        <v>8.2505000000000006</v>
      </c>
      <c r="AO95" s="36">
        <v>8.2573000000000008</v>
      </c>
      <c r="AP95" s="36">
        <v>8.2821999999999996</v>
      </c>
      <c r="AQ95" s="37">
        <v>8.2409999999999997</v>
      </c>
      <c r="AR95" s="35">
        <v>8.3278999999999996</v>
      </c>
      <c r="AS95" s="36">
        <v>8.6487999999999996</v>
      </c>
      <c r="AT95" s="36">
        <v>8.2562999999999995</v>
      </c>
      <c r="AU95" s="36">
        <v>8.3902000000000001</v>
      </c>
      <c r="AV95" s="36">
        <v>8.3720999999999997</v>
      </c>
      <c r="AW95" s="36">
        <v>8.3582999999999998</v>
      </c>
      <c r="AX95" s="36">
        <v>8.3462999999999994</v>
      </c>
      <c r="AY95" s="36">
        <v>8.3063000000000002</v>
      </c>
      <c r="AZ95" s="36">
        <v>8.3354999999999997</v>
      </c>
      <c r="BA95" s="36">
        <v>8.3050999999999995</v>
      </c>
      <c r="BB95" s="36">
        <v>8.3096999999999994</v>
      </c>
      <c r="BC95" s="37">
        <v>8.2469999999999999</v>
      </c>
      <c r="BD95" s="35">
        <v>8.2151999999999994</v>
      </c>
      <c r="BE95" s="36">
        <v>8.2175999999999991</v>
      </c>
      <c r="BF95" s="36">
        <v>9.1231000000000009</v>
      </c>
      <c r="BG95" s="36">
        <v>9.1155000000000008</v>
      </c>
      <c r="BH95" s="36">
        <v>9.1041000000000007</v>
      </c>
      <c r="BI95" s="36">
        <v>9.0802999999999994</v>
      </c>
      <c r="BJ95" s="36">
        <v>9.0755999999999997</v>
      </c>
      <c r="BK95" s="36">
        <v>9.1000999999999994</v>
      </c>
      <c r="BL95" s="36">
        <v>9.0921000000000003</v>
      </c>
      <c r="BM95" s="36">
        <v>9.1176999999999992</v>
      </c>
      <c r="BN95" s="36">
        <v>9.1186000000000007</v>
      </c>
      <c r="BO95" s="37">
        <v>9.1267999999999994</v>
      </c>
      <c r="BP95" s="35">
        <v>9.1248000000000005</v>
      </c>
      <c r="BQ95" s="36">
        <v>9.8414000000000001</v>
      </c>
      <c r="BR95" s="47">
        <v>9.1297999999999995</v>
      </c>
      <c r="BS95" s="36">
        <v>9.8439999999999994</v>
      </c>
      <c r="BT95" s="36">
        <v>10.1427</v>
      </c>
      <c r="BU95" s="36">
        <v>10.1</v>
      </c>
      <c r="BV95" s="36">
        <v>10.102400000000001</v>
      </c>
      <c r="BW95" s="36">
        <v>10.0946</v>
      </c>
      <c r="BX95" s="36">
        <v>10.1273</v>
      </c>
      <c r="BY95" s="36">
        <v>9.8294999999999995</v>
      </c>
      <c r="BZ95" s="36">
        <v>9.8828999999999994</v>
      </c>
      <c r="CA95" s="38">
        <v>9.8347999999999995</v>
      </c>
      <c r="CB95" s="48">
        <v>9.8299000000000003</v>
      </c>
      <c r="CC95" s="51">
        <v>10.634570100000001</v>
      </c>
      <c r="CD95" s="44">
        <v>9.8461999999999978</v>
      </c>
      <c r="CE95" s="45">
        <v>10.314599999999999</v>
      </c>
      <c r="CF95" s="44">
        <f>7.3495+0.7599+0.9445+0.8005+0.5396+0.2255+0.0428+0.0048+0.0013-0.3</f>
        <v>10.368399999999999</v>
      </c>
      <c r="CG95" s="45">
        <f>7.3389+0.7838+0.9445+0.8005+0.5396+0.2225+0.0428+0.005+0.0013-0.3</f>
        <v>10.3789</v>
      </c>
      <c r="CH95" s="49">
        <f>7.2771+0.783+0.9445+0.8005+0.5395+0.2255+0.0428+0.0056+0.0015-0.3</f>
        <v>10.319999999999999</v>
      </c>
      <c r="CI95" s="49">
        <f>7.2907+0.783+0.9445+0.8005+0.5396+0.1822+0.0428+0.0052+0.0015-0.3</f>
        <v>10.29</v>
      </c>
      <c r="CJ95" s="49">
        <f>7.3009+0.8053+0.9445+0.8005+0.5396+0.1822+0.0428+0.0052+0.0015-0.3</f>
        <v>10.3225</v>
      </c>
      <c r="CK95" s="45">
        <f>7.2868+0.8429+0.9445+0.8005+0.5396+0.1822+0.0428+0.0054+0.0015-0.3</f>
        <v>10.346199999999998</v>
      </c>
      <c r="CL95" s="45">
        <f>7.2885+0.7937+1.1226+1.3852+0.642+0.0428+0.0054+0.0013-0.3</f>
        <v>10.981499999999999</v>
      </c>
      <c r="CM95" s="50">
        <f>7.2923+0.8299+1.1226+1.3852+0.642+0.1822+0.0428+0.006+0.0011-0.3</f>
        <v>11.204099999999997</v>
      </c>
      <c r="CN95" s="49">
        <f>7.285+0.8072+1.1226+1.3852+0.642+0.1822+0.0428+0.0063+0.0009-0.3</f>
        <v>11.174199999999997</v>
      </c>
      <c r="CO95" s="45">
        <f>7.2954-0.0461+0.8178-0.1188+1.1226+1.3852+0.642+0.1993+0.0428+0.0061-0.0059+0.0002+0.0009+0.0008+0.0017-0.3</f>
        <v>11.043999999999995</v>
      </c>
      <c r="CP95" s="54">
        <f>7.2924+0.6834+1.1226+1.3852+0.642+0.1993+0.0428+0.0065-0.0059+0.0006+0.0015-0.3</f>
        <v>11.070399999999998</v>
      </c>
      <c r="CQ95" s="45"/>
      <c r="CR95" s="45"/>
      <c r="CS95" s="45"/>
      <c r="CT95" s="45"/>
      <c r="CU95" s="45"/>
      <c r="CV95" s="45"/>
      <c r="CW95" s="45"/>
      <c r="CX95" s="45"/>
      <c r="CY95" s="45"/>
    </row>
    <row r="96" spans="1:103" ht="45" customHeight="1">
      <c r="A96" s="39">
        <v>68</v>
      </c>
      <c r="B96" s="40" t="s">
        <v>297</v>
      </c>
      <c r="C96" s="41" t="s">
        <v>298</v>
      </c>
      <c r="D96" s="41" t="s">
        <v>134</v>
      </c>
      <c r="E96" s="41" t="s">
        <v>121</v>
      </c>
      <c r="F96" s="41" t="s">
        <v>109</v>
      </c>
      <c r="G96" s="42" t="s">
        <v>110</v>
      </c>
      <c r="H96" s="35"/>
      <c r="I96" s="36"/>
      <c r="J96" s="36"/>
      <c r="K96" s="36"/>
      <c r="L96" s="36"/>
      <c r="M96" s="36"/>
      <c r="N96" s="36"/>
      <c r="O96" s="36"/>
      <c r="P96" s="36"/>
      <c r="Q96" s="36"/>
      <c r="R96" s="36"/>
      <c r="S96" s="37"/>
      <c r="T96" s="35"/>
      <c r="U96" s="36"/>
      <c r="V96" s="36"/>
      <c r="W96" s="36"/>
      <c r="X96" s="36"/>
      <c r="Y96" s="36"/>
      <c r="Z96" s="36"/>
      <c r="AA96" s="36"/>
      <c r="AB96" s="36"/>
      <c r="AC96" s="36"/>
      <c r="AD96" s="36"/>
      <c r="AE96" s="37"/>
      <c r="AF96" s="35"/>
      <c r="AG96" s="36"/>
      <c r="AH96" s="36"/>
      <c r="AI96" s="36"/>
      <c r="AJ96" s="36"/>
      <c r="AK96" s="36"/>
      <c r="AL96" s="36"/>
      <c r="AM96" s="36"/>
      <c r="AN96" s="36"/>
      <c r="AO96" s="36"/>
      <c r="AP96" s="36"/>
      <c r="AQ96" s="37"/>
      <c r="AR96" s="35"/>
      <c r="AS96" s="36"/>
      <c r="AT96" s="36"/>
      <c r="AU96" s="36"/>
      <c r="AV96" s="36"/>
      <c r="AW96" s="36"/>
      <c r="AX96" s="36"/>
      <c r="AY96" s="36"/>
      <c r="AZ96" s="36"/>
      <c r="BA96" s="36"/>
      <c r="BB96" s="36"/>
      <c r="BC96" s="37"/>
      <c r="BD96" s="35">
        <v>8.2151999999999994</v>
      </c>
      <c r="BE96" s="36">
        <v>8.2175999999999991</v>
      </c>
      <c r="BF96" s="36">
        <v>9.1231000000000009</v>
      </c>
      <c r="BG96" s="36">
        <v>9.1155000000000008</v>
      </c>
      <c r="BH96" s="36">
        <v>9.1041000000000007</v>
      </c>
      <c r="BI96" s="36">
        <v>9.0802999999999994</v>
      </c>
      <c r="BJ96" s="36">
        <v>9.0755999999999997</v>
      </c>
      <c r="BK96" s="36">
        <v>9.1000999999999994</v>
      </c>
      <c r="BL96" s="36">
        <v>9.0921000000000003</v>
      </c>
      <c r="BM96" s="36">
        <v>9.1176999999999992</v>
      </c>
      <c r="BN96" s="36">
        <v>9.1186000000000007</v>
      </c>
      <c r="BO96" s="37">
        <v>9.1267999999999994</v>
      </c>
      <c r="BP96" s="35">
        <v>9.1248000000000005</v>
      </c>
      <c r="BQ96" s="36">
        <v>9.8414000000000001</v>
      </c>
      <c r="BR96" s="36">
        <v>9.1297999999999995</v>
      </c>
      <c r="BS96" s="36">
        <v>9.8439999999999994</v>
      </c>
      <c r="BT96" s="36">
        <v>10.1747</v>
      </c>
      <c r="BU96" s="36">
        <v>10.2133</v>
      </c>
      <c r="BV96" s="36"/>
      <c r="BW96" s="36">
        <f>10.3925-0.0386</f>
        <v>10.353899999999999</v>
      </c>
      <c r="BX96" s="36">
        <v>10.3925</v>
      </c>
      <c r="BY96" s="36">
        <v>10.388400000000001</v>
      </c>
      <c r="BZ96" s="36">
        <v>10.3879</v>
      </c>
      <c r="CA96" s="38">
        <v>10.167400000000001</v>
      </c>
      <c r="CB96" s="72" t="s">
        <v>299</v>
      </c>
      <c r="CC96" s="72" t="s">
        <v>300</v>
      </c>
      <c r="CD96" s="72" t="s">
        <v>300</v>
      </c>
      <c r="CE96" s="72" t="s">
        <v>300</v>
      </c>
      <c r="CF96" s="72" t="s">
        <v>301</v>
      </c>
      <c r="CG96" s="72" t="s">
        <v>302</v>
      </c>
      <c r="CH96" s="72" t="s">
        <v>303</v>
      </c>
      <c r="CI96" s="45">
        <v>10.839499999999999</v>
      </c>
      <c r="CJ96" s="36">
        <v>10.8415</v>
      </c>
      <c r="CK96" s="36"/>
      <c r="CL96" s="36">
        <v>10.8378</v>
      </c>
      <c r="CM96" s="38">
        <v>10.419700000000001</v>
      </c>
      <c r="CN96" s="54">
        <v>10.638999999999999</v>
      </c>
      <c r="CO96" s="54">
        <v>10.659000000000001</v>
      </c>
      <c r="CP96" s="54"/>
      <c r="CQ96" s="54"/>
      <c r="CR96" s="54"/>
      <c r="CS96" s="54"/>
      <c r="CT96" s="54"/>
      <c r="CU96" s="54"/>
      <c r="CV96" s="54"/>
      <c r="CW96" s="54"/>
      <c r="CX96" s="54"/>
      <c r="CY96" s="54"/>
    </row>
    <row r="97" spans="1:103" ht="45" customHeight="1">
      <c r="A97" s="39">
        <v>67</v>
      </c>
      <c r="B97" s="40" t="s">
        <v>304</v>
      </c>
      <c r="C97" s="41" t="s">
        <v>305</v>
      </c>
      <c r="D97" s="41" t="s">
        <v>107</v>
      </c>
      <c r="E97" s="41" t="s">
        <v>135</v>
      </c>
      <c r="F97" s="41" t="s">
        <v>118</v>
      </c>
      <c r="G97" s="42" t="s">
        <v>114</v>
      </c>
      <c r="H97" s="35"/>
      <c r="I97" s="36"/>
      <c r="J97" s="36"/>
      <c r="K97" s="36"/>
      <c r="L97" s="36"/>
      <c r="M97" s="36"/>
      <c r="N97" s="36"/>
      <c r="O97" s="36"/>
      <c r="P97" s="36"/>
      <c r="Q97" s="36"/>
      <c r="R97" s="36"/>
      <c r="S97" s="37"/>
      <c r="T97" s="35"/>
      <c r="U97" s="36"/>
      <c r="V97" s="36"/>
      <c r="W97" s="36"/>
      <c r="X97" s="36"/>
      <c r="Y97" s="36"/>
      <c r="Z97" s="36"/>
      <c r="AA97" s="36"/>
      <c r="AB97" s="36"/>
      <c r="AC97" s="36"/>
      <c r="AD97" s="36"/>
      <c r="AE97" s="37"/>
      <c r="AF97" s="35"/>
      <c r="AG97" s="36"/>
      <c r="AH97" s="36"/>
      <c r="AI97" s="36"/>
      <c r="AJ97" s="36"/>
      <c r="AK97" s="36"/>
      <c r="AL97" s="36"/>
      <c r="AM97" s="36"/>
      <c r="AN97" s="36"/>
      <c r="AO97" s="36"/>
      <c r="AP97" s="36"/>
      <c r="AQ97" s="37"/>
      <c r="AR97" s="35">
        <v>8.6217000000000006</v>
      </c>
      <c r="AS97" s="36">
        <v>9.0288000000000004</v>
      </c>
      <c r="AT97" s="36">
        <v>9.2685999999999993</v>
      </c>
      <c r="AU97" s="36">
        <v>9.4475999999999996</v>
      </c>
      <c r="AV97" s="36">
        <v>9.4359000000000002</v>
      </c>
      <c r="AW97" s="36">
        <v>10.481299999999999</v>
      </c>
      <c r="AX97" s="36">
        <v>10.530200000000001</v>
      </c>
      <c r="AY97" s="36">
        <v>10.2918</v>
      </c>
      <c r="AZ97" s="36">
        <v>9.5313999999999997</v>
      </c>
      <c r="BA97" s="36">
        <v>8.6669</v>
      </c>
      <c r="BB97" s="36">
        <v>10.1875</v>
      </c>
      <c r="BC97" s="37">
        <v>9.9374000000000002</v>
      </c>
      <c r="BD97" s="35">
        <v>10.092000000000001</v>
      </c>
      <c r="BE97" s="36">
        <v>12.122400000000001</v>
      </c>
      <c r="BF97" s="36">
        <v>10.904999999999999</v>
      </c>
      <c r="BG97" s="36">
        <v>11.913399999999999</v>
      </c>
      <c r="BH97" s="36">
        <v>11.418100000000001</v>
      </c>
      <c r="BI97" s="36">
        <v>11.3246</v>
      </c>
      <c r="BJ97" s="36">
        <v>13.331799999999999</v>
      </c>
      <c r="BK97" s="36">
        <v>14.154999999999999</v>
      </c>
      <c r="BL97" s="36">
        <v>13.317399999999999</v>
      </c>
      <c r="BM97" s="36">
        <v>14.2075</v>
      </c>
      <c r="BN97" s="36">
        <v>14.3855</v>
      </c>
      <c r="BO97" s="37">
        <v>13.7582</v>
      </c>
      <c r="BP97" s="35">
        <v>13.360300000000001</v>
      </c>
      <c r="BQ97" s="36">
        <v>12.5373</v>
      </c>
      <c r="BR97" s="47">
        <v>12.5366</v>
      </c>
      <c r="BS97" s="36">
        <v>11.860900000000001</v>
      </c>
      <c r="BT97" s="36">
        <v>11.9779</v>
      </c>
      <c r="BU97" s="36">
        <v>12.3621</v>
      </c>
      <c r="BV97" s="36">
        <v>11.051399999999999</v>
      </c>
      <c r="BW97" s="36">
        <v>10.4024</v>
      </c>
      <c r="BX97" s="36">
        <f>10.5812-1.1316</f>
        <v>9.4496000000000002</v>
      </c>
      <c r="BY97" s="36">
        <v>10.459199999999999</v>
      </c>
      <c r="BZ97" s="36">
        <v>9.1517999999999997</v>
      </c>
      <c r="CA97" s="38">
        <v>9.1288</v>
      </c>
      <c r="CB97" s="48"/>
      <c r="CC97" s="48"/>
      <c r="CD97" s="48"/>
      <c r="CE97" s="48"/>
      <c r="CF97" s="48"/>
      <c r="CG97" s="48"/>
      <c r="CH97" s="48"/>
      <c r="CI97" s="36">
        <v>12.031700000000001</v>
      </c>
      <c r="CJ97" s="45">
        <v>13.159800000000001</v>
      </c>
      <c r="CK97" s="45">
        <v>11.061500000000001</v>
      </c>
      <c r="CL97" s="45">
        <v>11.8095</v>
      </c>
      <c r="CM97" s="50">
        <v>11.311400000000001</v>
      </c>
      <c r="CN97" s="36">
        <v>10.530799999999999</v>
      </c>
      <c r="CO97" s="45">
        <v>10.4681</v>
      </c>
      <c r="CP97" s="45">
        <v>9.6547999999999998</v>
      </c>
      <c r="CQ97" s="45"/>
      <c r="CR97" s="45"/>
      <c r="CS97" s="45"/>
      <c r="CT97" s="45"/>
      <c r="CU97" s="45"/>
      <c r="CV97" s="45"/>
      <c r="CW97" s="45"/>
      <c r="CX97" s="45"/>
      <c r="CY97" s="45"/>
    </row>
    <row r="98" spans="1:103" ht="45" customHeight="1">
      <c r="A98" s="39">
        <v>78</v>
      </c>
      <c r="B98" s="40" t="s">
        <v>306</v>
      </c>
      <c r="C98" s="41" t="s">
        <v>307</v>
      </c>
      <c r="D98" s="41" t="s">
        <v>107</v>
      </c>
      <c r="E98" s="41" t="s">
        <v>308</v>
      </c>
      <c r="F98" s="41" t="s">
        <v>109</v>
      </c>
      <c r="G98" s="42" t="s">
        <v>114</v>
      </c>
      <c r="H98" s="35">
        <v>9.0388999999999999</v>
      </c>
      <c r="I98" s="36">
        <v>10.1052</v>
      </c>
      <c r="J98" s="36">
        <v>10.9552</v>
      </c>
      <c r="K98" s="36">
        <v>11.180199999999999</v>
      </c>
      <c r="L98" s="36">
        <v>10.636699999999999</v>
      </c>
      <c r="M98" s="36">
        <v>10.5114</v>
      </c>
      <c r="N98" s="36">
        <v>10.8515</v>
      </c>
      <c r="O98" s="36">
        <v>10.824999999999999</v>
      </c>
      <c r="P98" s="36">
        <v>10.7057</v>
      </c>
      <c r="Q98" s="36">
        <v>10.6091</v>
      </c>
      <c r="R98" s="36">
        <v>10.7226</v>
      </c>
      <c r="S98" s="37">
        <v>10.812799999999999</v>
      </c>
      <c r="T98" s="35">
        <v>10.4709</v>
      </c>
      <c r="U98" s="36">
        <v>11.039199999999999</v>
      </c>
      <c r="V98" s="36">
        <v>11.1286</v>
      </c>
      <c r="W98" s="36">
        <v>11.1919</v>
      </c>
      <c r="X98" s="36">
        <v>10.9191</v>
      </c>
      <c r="Y98" s="36">
        <v>10.724299999999999</v>
      </c>
      <c r="Z98" s="36">
        <v>10.6174</v>
      </c>
      <c r="AA98" s="36">
        <v>10.1999</v>
      </c>
      <c r="AB98" s="36">
        <v>9.6738999999999997</v>
      </c>
      <c r="AC98" s="36">
        <v>9.7187999999999999</v>
      </c>
      <c r="AD98" s="36">
        <v>10.1905</v>
      </c>
      <c r="AE98" s="37">
        <v>10.4948</v>
      </c>
      <c r="AF98" s="35">
        <v>10.08</v>
      </c>
      <c r="AG98" s="36">
        <v>9.4946999999999999</v>
      </c>
      <c r="AH98" s="36">
        <v>9.5226000000000006</v>
      </c>
      <c r="AI98" s="36">
        <v>9.6275999999999993</v>
      </c>
      <c r="AJ98" s="36">
        <v>9.3792000000000009</v>
      </c>
      <c r="AK98" s="36">
        <v>9.3792000000000009</v>
      </c>
      <c r="AL98" s="36">
        <v>9.3291000000000004</v>
      </c>
      <c r="AM98" s="36">
        <v>9.1235999999999997</v>
      </c>
      <c r="AN98" s="36">
        <v>9.0612999999999992</v>
      </c>
      <c r="AO98" s="36">
        <v>9.1823999999999995</v>
      </c>
      <c r="AP98" s="36">
        <v>9.1430000000000007</v>
      </c>
      <c r="AQ98" s="37">
        <v>9.1077999999999992</v>
      </c>
      <c r="AR98" s="35">
        <v>9.3800000000000008</v>
      </c>
      <c r="AS98" s="36">
        <v>9.31</v>
      </c>
      <c r="AT98" s="36">
        <v>8.9499999999999993</v>
      </c>
      <c r="AU98" s="36">
        <v>9.0391999999999992</v>
      </c>
      <c r="AV98" s="36">
        <v>9.2212999999999994</v>
      </c>
      <c r="AW98" s="36">
        <v>9.3010999999999999</v>
      </c>
      <c r="AX98" s="36">
        <v>9.5396000000000001</v>
      </c>
      <c r="AY98" s="36">
        <v>9.6361000000000008</v>
      </c>
      <c r="AZ98" s="36">
        <v>9.6361000000000008</v>
      </c>
      <c r="BA98" s="36">
        <v>9.7698999999999998</v>
      </c>
      <c r="BB98" s="36">
        <v>10.095499999999999</v>
      </c>
      <c r="BC98" s="37">
        <v>10.409800000000001</v>
      </c>
      <c r="BD98" s="35">
        <v>9.7027000000000001</v>
      </c>
      <c r="BE98" s="36">
        <v>9.59</v>
      </c>
      <c r="BF98" s="36">
        <v>9.6466999999999992</v>
      </c>
      <c r="BG98" s="36">
        <v>10.183</v>
      </c>
      <c r="BH98" s="36">
        <v>10.063000000000001</v>
      </c>
      <c r="BI98" s="36">
        <v>10.4612</v>
      </c>
      <c r="BJ98" s="36">
        <v>9.7545000000000002</v>
      </c>
      <c r="BK98" s="36">
        <v>9.5457999999999998</v>
      </c>
      <c r="BL98" s="36">
        <v>9.9365000000000006</v>
      </c>
      <c r="BM98" s="36">
        <v>9.8628</v>
      </c>
      <c r="BN98" s="36">
        <v>9.9472000000000005</v>
      </c>
      <c r="BO98" s="37">
        <v>10.2669</v>
      </c>
      <c r="BP98" s="35">
        <v>10.9001</v>
      </c>
      <c r="BQ98" s="36">
        <v>10.8895</v>
      </c>
      <c r="BR98" s="47">
        <v>11.434799999999999</v>
      </c>
      <c r="BS98" s="36">
        <v>11.316800000000001</v>
      </c>
      <c r="BT98" s="36">
        <v>11.492900000000001</v>
      </c>
      <c r="BU98" s="36">
        <v>11.91</v>
      </c>
      <c r="BV98" s="36">
        <v>11.1899</v>
      </c>
      <c r="BW98" s="36">
        <v>10.899100000000001</v>
      </c>
      <c r="BX98" s="36">
        <v>11.399699999999999</v>
      </c>
      <c r="BY98" s="36">
        <v>11.82</v>
      </c>
      <c r="BZ98" s="36">
        <v>12.054500000000001</v>
      </c>
      <c r="CA98" s="38">
        <v>11.2584</v>
      </c>
      <c r="CB98" s="43">
        <v>11.343</v>
      </c>
      <c r="CC98" s="44">
        <v>11.9168</v>
      </c>
      <c r="CD98" s="44">
        <v>11.94</v>
      </c>
      <c r="CE98" s="44">
        <v>10.9518</v>
      </c>
      <c r="CF98" s="44">
        <v>11.4139</v>
      </c>
      <c r="CG98" s="45">
        <v>9.4499999999999993</v>
      </c>
      <c r="CH98" s="45">
        <v>11.6012</v>
      </c>
      <c r="CI98" s="44">
        <v>11.63</v>
      </c>
      <c r="CJ98" s="44">
        <v>11.79</v>
      </c>
      <c r="CK98" s="44">
        <v>11.43</v>
      </c>
      <c r="CL98" s="44">
        <v>11.8569</v>
      </c>
      <c r="CM98" s="46">
        <v>11.96</v>
      </c>
      <c r="CN98" s="84">
        <v>11.7843</v>
      </c>
      <c r="CO98" s="84">
        <v>12.026199999999999</v>
      </c>
      <c r="CP98" s="84">
        <v>12.290100000000001</v>
      </c>
      <c r="CQ98" s="84">
        <v>13.012700000000001</v>
      </c>
      <c r="CR98" s="84"/>
      <c r="CS98" s="84"/>
      <c r="CT98" s="84"/>
      <c r="CU98" s="84"/>
      <c r="CV98" s="84"/>
      <c r="CW98" s="84"/>
      <c r="CX98" s="84"/>
      <c r="CY98" s="84"/>
    </row>
    <row r="99" spans="1:103" ht="45" customHeight="1">
      <c r="A99" s="39">
        <v>145</v>
      </c>
      <c r="B99" s="40" t="s">
        <v>309</v>
      </c>
      <c r="C99" s="41" t="s">
        <v>310</v>
      </c>
      <c r="D99" s="41" t="s">
        <v>107</v>
      </c>
      <c r="E99" s="41" t="s">
        <v>135</v>
      </c>
      <c r="F99" s="41" t="s">
        <v>118</v>
      </c>
      <c r="G99" s="42" t="s">
        <v>151</v>
      </c>
      <c r="H99" s="35"/>
      <c r="I99" s="36"/>
      <c r="J99" s="36"/>
      <c r="K99" s="36"/>
      <c r="L99" s="36"/>
      <c r="M99" s="36"/>
      <c r="N99" s="36"/>
      <c r="O99" s="36"/>
      <c r="P99" s="36"/>
      <c r="Q99" s="36"/>
      <c r="R99" s="36"/>
      <c r="S99" s="37"/>
      <c r="T99" s="35"/>
      <c r="U99" s="36"/>
      <c r="V99" s="36"/>
      <c r="W99" s="36"/>
      <c r="X99" s="36"/>
      <c r="Y99" s="36"/>
      <c r="Z99" s="36"/>
      <c r="AA99" s="36"/>
      <c r="AB99" s="36"/>
      <c r="AC99" s="36"/>
      <c r="AD99" s="36"/>
      <c r="AE99" s="37"/>
      <c r="AF99" s="35"/>
      <c r="AG99" s="36"/>
      <c r="AH99" s="36"/>
      <c r="AI99" s="36"/>
      <c r="AJ99" s="36"/>
      <c r="AK99" s="36"/>
      <c r="AL99" s="36"/>
      <c r="AM99" s="36"/>
      <c r="AN99" s="36"/>
      <c r="AO99" s="36"/>
      <c r="AP99" s="36"/>
      <c r="AQ99" s="37"/>
      <c r="AR99" s="35"/>
      <c r="AS99" s="36"/>
      <c r="AT99" s="36"/>
      <c r="AU99" s="36"/>
      <c r="AV99" s="36"/>
      <c r="AW99" s="36"/>
      <c r="AX99" s="36"/>
      <c r="AY99" s="36"/>
      <c r="AZ99" s="36"/>
      <c r="BA99" s="36"/>
      <c r="BB99" s="36"/>
      <c r="BC99" s="37"/>
      <c r="BD99" s="35"/>
      <c r="BE99" s="36"/>
      <c r="BF99" s="36"/>
      <c r="BG99" s="36"/>
      <c r="BH99" s="36"/>
      <c r="BI99" s="36"/>
      <c r="BJ99" s="36"/>
      <c r="BK99" s="36"/>
      <c r="BL99" s="36"/>
      <c r="BM99" s="36"/>
      <c r="BN99" s="36"/>
      <c r="BO99" s="37"/>
      <c r="BP99" s="35">
        <f>6.536046+0.100715+0.5526+0.972163</f>
        <v>8.161524</v>
      </c>
      <c r="BQ99" s="36">
        <f>7.781859+0.125099+0.5526</f>
        <v>8.4595579999999995</v>
      </c>
      <c r="BR99" s="36">
        <f>6.2932348+0.0858844+0.5526</f>
        <v>6.9317191999999999</v>
      </c>
      <c r="BS99" s="36">
        <f>6.3400282+0.0764811+0.5526</f>
        <v>6.9691092999999995</v>
      </c>
      <c r="BT99" s="36">
        <f>6.622609+0.096976+0.5526</f>
        <v>7.2721849999999995</v>
      </c>
      <c r="BU99" s="36">
        <f>6.790521+0.114584+0.5526</f>
        <v>7.4577049999999998</v>
      </c>
      <c r="BV99" s="36">
        <f>6.9157078+0.1108441+0.5526+0.2661</f>
        <v>7.8452518999999992</v>
      </c>
      <c r="BW99" s="36">
        <f>6.7291191+0.0810567+0.5526+0.2661</f>
        <v>7.6288758000000003</v>
      </c>
      <c r="BX99" s="36">
        <v>8.4502000000000006</v>
      </c>
      <c r="BY99" s="36">
        <v>7.9791999999999996</v>
      </c>
      <c r="BZ99" s="36">
        <v>8.7439</v>
      </c>
      <c r="CA99" s="38">
        <v>6.5106000000000002</v>
      </c>
      <c r="CB99" s="35">
        <v>6.5837000000000003</v>
      </c>
      <c r="CC99" s="36">
        <v>6.9079632999999996</v>
      </c>
      <c r="CD99" s="36">
        <v>6.6102772999999999</v>
      </c>
      <c r="CE99" s="36">
        <v>8.1233000000000004</v>
      </c>
      <c r="CF99" s="36">
        <f>6.4013314+0.0946857+0.5526+0.3047</f>
        <v>7.3533171000000008</v>
      </c>
      <c r="CG99" s="36">
        <f>4.9065079+0.0793012+0.5526+0.3521</f>
        <v>5.8905091000000001</v>
      </c>
      <c r="CH99" s="36"/>
      <c r="CI99" s="36"/>
      <c r="CJ99" s="36"/>
      <c r="CK99" s="36"/>
      <c r="CL99" s="36"/>
      <c r="CM99" s="38"/>
      <c r="CN99" s="36"/>
      <c r="CO99" s="36"/>
      <c r="CP99" s="36"/>
      <c r="CQ99" s="36"/>
      <c r="CR99" s="36"/>
      <c r="CS99" s="36"/>
      <c r="CT99" s="36"/>
      <c r="CU99" s="36"/>
      <c r="CV99" s="36"/>
      <c r="CW99" s="36"/>
      <c r="CX99" s="36"/>
      <c r="CY99" s="36"/>
    </row>
    <row r="100" spans="1:103" ht="45" customHeight="1">
      <c r="A100" s="39">
        <v>6</v>
      </c>
      <c r="B100" s="40" t="s">
        <v>311</v>
      </c>
      <c r="C100" s="41" t="s">
        <v>312</v>
      </c>
      <c r="D100" s="41" t="s">
        <v>107</v>
      </c>
      <c r="E100" s="41" t="s">
        <v>166</v>
      </c>
      <c r="F100" s="41" t="s">
        <v>125</v>
      </c>
      <c r="G100" s="42" t="s">
        <v>110</v>
      </c>
      <c r="H100" s="35">
        <v>10.45</v>
      </c>
      <c r="I100" s="36">
        <v>10.44</v>
      </c>
      <c r="J100" s="36">
        <v>10.26</v>
      </c>
      <c r="K100" s="36">
        <v>10.52</v>
      </c>
      <c r="L100" s="36">
        <v>10.31</v>
      </c>
      <c r="M100" s="36">
        <v>9.9</v>
      </c>
      <c r="N100" s="36">
        <v>9.99</v>
      </c>
      <c r="O100" s="36">
        <v>10.09</v>
      </c>
      <c r="P100" s="36">
        <v>9.8699999999999992</v>
      </c>
      <c r="Q100" s="36">
        <v>10.81</v>
      </c>
      <c r="R100" s="36">
        <v>10.79</v>
      </c>
      <c r="S100" s="37">
        <v>10.72</v>
      </c>
      <c r="T100" s="35">
        <v>9.8699999999999992</v>
      </c>
      <c r="U100" s="36">
        <v>9.98</v>
      </c>
      <c r="V100" s="36">
        <v>10.07</v>
      </c>
      <c r="W100" s="36">
        <v>10.01</v>
      </c>
      <c r="X100" s="36">
        <v>9.49</v>
      </c>
      <c r="Y100" s="36">
        <v>9.58</v>
      </c>
      <c r="Z100" s="36">
        <v>9.52</v>
      </c>
      <c r="AA100" s="36">
        <v>9.5299999999999994</v>
      </c>
      <c r="AB100" s="36">
        <v>9.7899999999999991</v>
      </c>
      <c r="AC100" s="36">
        <v>10.44</v>
      </c>
      <c r="AD100" s="36">
        <v>10.17</v>
      </c>
      <c r="AE100" s="37">
        <v>10.24</v>
      </c>
      <c r="AF100" s="35">
        <v>11.8378</v>
      </c>
      <c r="AG100" s="36">
        <v>11.3657</v>
      </c>
      <c r="AH100" s="36">
        <v>11.5959</v>
      </c>
      <c r="AI100" s="36">
        <v>11.516299999999999</v>
      </c>
      <c r="AJ100" s="36">
        <v>10.9793</v>
      </c>
      <c r="AK100" s="36">
        <v>11.1267</v>
      </c>
      <c r="AL100" s="36">
        <v>11.603199999999999</v>
      </c>
      <c r="AM100" s="36">
        <v>11.830500000000001</v>
      </c>
      <c r="AN100" s="36">
        <v>11.736800000000001</v>
      </c>
      <c r="AO100" s="36">
        <v>11.5289</v>
      </c>
      <c r="AP100" s="36">
        <v>11.817500000000001</v>
      </c>
      <c r="AQ100" s="37">
        <v>11.5517</v>
      </c>
      <c r="AR100" s="35">
        <v>10.29</v>
      </c>
      <c r="AS100" s="36">
        <v>10.28</v>
      </c>
      <c r="AT100" s="36">
        <v>10.07</v>
      </c>
      <c r="AU100" s="36">
        <v>10.96</v>
      </c>
      <c r="AV100" s="36">
        <v>10.45</v>
      </c>
      <c r="AW100" s="36">
        <v>10.06</v>
      </c>
      <c r="AX100" s="36">
        <v>10.54</v>
      </c>
      <c r="AY100" s="36">
        <v>11.39</v>
      </c>
      <c r="AZ100" s="36">
        <v>11.3</v>
      </c>
      <c r="BA100" s="36">
        <v>12.02</v>
      </c>
      <c r="BB100" s="36">
        <v>12.02</v>
      </c>
      <c r="BC100" s="37">
        <v>12.26</v>
      </c>
      <c r="BD100" s="61">
        <v>14.127079999999999</v>
      </c>
      <c r="BE100" s="36">
        <v>13.966699999999999</v>
      </c>
      <c r="BF100" s="36">
        <v>15.2812</v>
      </c>
      <c r="BG100" s="36">
        <v>14.928599999999999</v>
      </c>
      <c r="BH100" s="36">
        <v>14.6027</v>
      </c>
      <c r="BI100" s="36">
        <v>14.1075</v>
      </c>
      <c r="BJ100" s="36">
        <v>16.0503</v>
      </c>
      <c r="BK100" s="36">
        <v>17.2925</v>
      </c>
      <c r="BL100" s="36">
        <v>18.287600000000001</v>
      </c>
      <c r="BM100" s="36">
        <v>17.8139</v>
      </c>
      <c r="BN100" s="36">
        <v>17.072900000000001</v>
      </c>
      <c r="BO100" s="37">
        <v>17.805599999999998</v>
      </c>
      <c r="BP100" s="35">
        <v>14.5573</v>
      </c>
      <c r="BQ100" s="36">
        <v>16.657599999999999</v>
      </c>
      <c r="BR100" s="47">
        <v>16.555599999999998</v>
      </c>
      <c r="BS100" s="36">
        <v>15.520799999999999</v>
      </c>
      <c r="BT100" s="36">
        <v>14.9687</v>
      </c>
      <c r="BU100" s="36">
        <v>14.242900000000001</v>
      </c>
      <c r="BV100" s="36">
        <v>14.0755</v>
      </c>
      <c r="BW100" s="36">
        <v>13.6892</v>
      </c>
      <c r="BX100" s="36">
        <v>14.5016</v>
      </c>
      <c r="BY100" s="36">
        <v>14.0113</v>
      </c>
      <c r="BZ100" s="36">
        <v>13.202</v>
      </c>
      <c r="CA100" s="38">
        <v>13.5641</v>
      </c>
      <c r="CB100" s="48">
        <v>12.996700000000001</v>
      </c>
      <c r="CC100" s="44">
        <v>13.2766</v>
      </c>
      <c r="CD100" s="45">
        <v>13.8634</v>
      </c>
      <c r="CE100" s="45">
        <v>13.0764</v>
      </c>
      <c r="CF100" s="36">
        <v>12.3188</v>
      </c>
      <c r="CG100" s="45">
        <v>12.7409</v>
      </c>
      <c r="CH100" s="45">
        <v>12.465</v>
      </c>
      <c r="CI100" s="49">
        <v>12.7606</v>
      </c>
      <c r="CJ100" s="45">
        <v>11.473800000000001</v>
      </c>
      <c r="CK100" s="45">
        <v>11.820600000000001</v>
      </c>
      <c r="CL100" s="45">
        <v>12.653600000000001</v>
      </c>
      <c r="CM100" s="50">
        <v>12.548500000000001</v>
      </c>
      <c r="CN100" s="81">
        <v>12.1585</v>
      </c>
      <c r="CO100" s="53">
        <v>11.9796</v>
      </c>
      <c r="CP100" s="53">
        <v>12.539099999999999</v>
      </c>
      <c r="CQ100" s="53"/>
      <c r="CR100" s="53"/>
      <c r="CS100" s="53"/>
      <c r="CT100" s="53"/>
      <c r="CU100" s="53"/>
      <c r="CV100" s="53"/>
      <c r="CW100" s="53"/>
      <c r="CX100" s="53"/>
      <c r="CY100" s="53"/>
    </row>
    <row r="101" spans="1:103" ht="45" customHeight="1">
      <c r="A101" s="39">
        <v>128</v>
      </c>
      <c r="B101" s="40" t="s">
        <v>313</v>
      </c>
      <c r="C101" s="41" t="s">
        <v>314</v>
      </c>
      <c r="D101" s="41" t="s">
        <v>107</v>
      </c>
      <c r="E101" s="41" t="s">
        <v>166</v>
      </c>
      <c r="F101" s="41" t="s">
        <v>125</v>
      </c>
      <c r="G101" s="42" t="s">
        <v>110</v>
      </c>
      <c r="H101" s="35"/>
      <c r="I101" s="36"/>
      <c r="J101" s="36"/>
      <c r="K101" s="36"/>
      <c r="L101" s="36"/>
      <c r="M101" s="36"/>
      <c r="N101" s="36"/>
      <c r="O101" s="36"/>
      <c r="P101" s="36"/>
      <c r="Q101" s="36"/>
      <c r="R101" s="36"/>
      <c r="S101" s="37"/>
      <c r="T101" s="35"/>
      <c r="U101" s="36"/>
      <c r="V101" s="36"/>
      <c r="W101" s="36"/>
      <c r="X101" s="36"/>
      <c r="Y101" s="36"/>
      <c r="Z101" s="36"/>
      <c r="AA101" s="36"/>
      <c r="AB101" s="36"/>
      <c r="AC101" s="36"/>
      <c r="AD101" s="36"/>
      <c r="AE101" s="37"/>
      <c r="AF101" s="35"/>
      <c r="AG101" s="36"/>
      <c r="AH101" s="36"/>
      <c r="AI101" s="36"/>
      <c r="AJ101" s="36"/>
      <c r="AK101" s="36"/>
      <c r="AL101" s="36"/>
      <c r="AM101" s="36"/>
      <c r="AN101" s="36"/>
      <c r="AO101" s="36"/>
      <c r="AP101" s="36"/>
      <c r="AQ101" s="37"/>
      <c r="AR101" s="35"/>
      <c r="AS101" s="36"/>
      <c r="AT101" s="36"/>
      <c r="AU101" s="36"/>
      <c r="AV101" s="36"/>
      <c r="AW101" s="36"/>
      <c r="AX101" s="36"/>
      <c r="AY101" s="36"/>
      <c r="AZ101" s="36"/>
      <c r="BA101" s="36"/>
      <c r="BB101" s="36"/>
      <c r="BC101" s="37"/>
      <c r="BD101" s="35">
        <v>14.0814</v>
      </c>
      <c r="BE101" s="36">
        <v>13.6851</v>
      </c>
      <c r="BF101" s="36">
        <v>14.227399999999999</v>
      </c>
      <c r="BG101" s="36">
        <v>14.494</v>
      </c>
      <c r="BH101" s="36">
        <v>14.065899999999999</v>
      </c>
      <c r="BI101" s="36">
        <v>14.626200000000001</v>
      </c>
      <c r="BJ101" s="36">
        <v>15.9842</v>
      </c>
      <c r="BK101" s="36">
        <v>17.102</v>
      </c>
      <c r="BL101" s="36">
        <v>16.3551</v>
      </c>
      <c r="BM101" s="36"/>
      <c r="BN101" s="36"/>
      <c r="BO101" s="37"/>
      <c r="BP101" s="35">
        <v>17.086099999999998</v>
      </c>
      <c r="BQ101" s="36">
        <v>16.278700000000001</v>
      </c>
      <c r="BR101" s="36">
        <v>16.861999999999998</v>
      </c>
      <c r="BS101" s="36">
        <v>17.0716</v>
      </c>
      <c r="BT101" s="36">
        <v>16.2776</v>
      </c>
      <c r="BU101" s="36">
        <v>16.3536</v>
      </c>
      <c r="BV101" s="36">
        <v>15.4864</v>
      </c>
      <c r="BW101" s="36">
        <v>13.33</v>
      </c>
      <c r="BX101" s="36">
        <v>12.11</v>
      </c>
      <c r="BY101" s="36">
        <v>12.38</v>
      </c>
      <c r="BZ101" s="36">
        <v>12.69</v>
      </c>
      <c r="CA101" s="38">
        <v>11.29</v>
      </c>
      <c r="CB101" s="52">
        <v>12.255100000000001</v>
      </c>
      <c r="CC101" s="36">
        <v>11.95</v>
      </c>
      <c r="CD101" s="36">
        <v>13.3</v>
      </c>
      <c r="CE101" s="36">
        <v>13.065</v>
      </c>
      <c r="CF101" s="36">
        <v>12.700799999999999</v>
      </c>
      <c r="CG101" s="36">
        <v>13.7698</v>
      </c>
      <c r="CH101" s="45">
        <v>11.480700000000001</v>
      </c>
      <c r="CI101" s="36">
        <v>12.058400000000001</v>
      </c>
      <c r="CJ101" s="36">
        <v>11.0716</v>
      </c>
      <c r="CK101" s="36">
        <v>11.144399999999999</v>
      </c>
      <c r="CL101" s="36">
        <v>11.674099999999999</v>
      </c>
      <c r="CM101" s="38"/>
      <c r="CN101" s="54"/>
      <c r="CO101" s="54"/>
      <c r="CP101" s="54"/>
      <c r="CQ101" s="54"/>
      <c r="CR101" s="54"/>
      <c r="CS101" s="54"/>
      <c r="CT101" s="54"/>
      <c r="CU101" s="54"/>
      <c r="CV101" s="54"/>
      <c r="CW101" s="54"/>
      <c r="CX101" s="54"/>
      <c r="CY101" s="54"/>
    </row>
    <row r="102" spans="1:103" ht="45" customHeight="1">
      <c r="A102" s="39">
        <v>38</v>
      </c>
      <c r="B102" s="40" t="s">
        <v>315</v>
      </c>
      <c r="C102" s="41" t="s">
        <v>316</v>
      </c>
      <c r="D102" s="41" t="s">
        <v>107</v>
      </c>
      <c r="E102" s="41" t="s">
        <v>108</v>
      </c>
      <c r="F102" s="41" t="s">
        <v>109</v>
      </c>
      <c r="G102" s="42" t="s">
        <v>110</v>
      </c>
      <c r="H102" s="35">
        <v>2.8479999999999999</v>
      </c>
      <c r="I102" s="36">
        <v>2.9445000000000001</v>
      </c>
      <c r="J102" s="36">
        <v>11.201700000000001</v>
      </c>
      <c r="K102" s="36">
        <v>11.0511</v>
      </c>
      <c r="L102" s="36">
        <v>11.3675</v>
      </c>
      <c r="M102" s="36">
        <v>11.299799999999999</v>
      </c>
      <c r="N102" s="36">
        <v>9.9596</v>
      </c>
      <c r="O102" s="36">
        <v>9.9877000000000002</v>
      </c>
      <c r="P102" s="36">
        <v>10.2004</v>
      </c>
      <c r="Q102" s="36">
        <v>10.1676</v>
      </c>
      <c r="R102" s="36">
        <v>10.0207</v>
      </c>
      <c r="S102" s="37">
        <v>9.7905999999999995</v>
      </c>
      <c r="T102" s="35"/>
      <c r="U102" s="36"/>
      <c r="V102" s="36"/>
      <c r="W102" s="36"/>
      <c r="X102" s="36"/>
      <c r="Y102" s="36"/>
      <c r="Z102" s="36"/>
      <c r="AA102" s="36"/>
      <c r="AB102" s="36"/>
      <c r="AC102" s="36"/>
      <c r="AD102" s="36"/>
      <c r="AE102" s="37"/>
      <c r="AF102" s="35"/>
      <c r="AG102" s="36"/>
      <c r="AH102" s="36"/>
      <c r="AI102" s="36"/>
      <c r="AJ102" s="36"/>
      <c r="AK102" s="36"/>
      <c r="AL102" s="36"/>
      <c r="AM102" s="36"/>
      <c r="AN102" s="36"/>
      <c r="AO102" s="36"/>
      <c r="AP102" s="36"/>
      <c r="AQ102" s="37"/>
      <c r="AR102" s="35">
        <v>9.4008000000000003</v>
      </c>
      <c r="AS102" s="36">
        <v>9.5593000000000004</v>
      </c>
      <c r="AT102" s="36">
        <v>9.6963000000000008</v>
      </c>
      <c r="AU102" s="36">
        <v>9.9537999999999993</v>
      </c>
      <c r="AV102" s="36">
        <v>9.8416999999999994</v>
      </c>
      <c r="AW102" s="36">
        <v>9.4606999999999992</v>
      </c>
      <c r="AX102" s="36">
        <v>9.6889000000000003</v>
      </c>
      <c r="AY102" s="36">
        <v>9.6672999999999991</v>
      </c>
      <c r="AZ102" s="36">
        <v>9.0798000000000005</v>
      </c>
      <c r="BA102" s="36">
        <v>10.725099999999999</v>
      </c>
      <c r="BB102" s="36">
        <v>11.5726</v>
      </c>
      <c r="BC102" s="37">
        <v>11.6325</v>
      </c>
      <c r="BD102" s="35">
        <v>12.2349</v>
      </c>
      <c r="BE102" s="36">
        <v>12.6501</v>
      </c>
      <c r="BF102" s="36">
        <v>12.1911</v>
      </c>
      <c r="BG102" s="36">
        <v>12.5227</v>
      </c>
      <c r="BH102" s="36">
        <v>13.327500000000001</v>
      </c>
      <c r="BI102" s="36">
        <v>14.066800000000001</v>
      </c>
      <c r="BJ102" s="36">
        <v>14.106299999999999</v>
      </c>
      <c r="BK102" s="36">
        <v>15.9702</v>
      </c>
      <c r="BL102" s="36">
        <v>15.7331</v>
      </c>
      <c r="BM102" s="36">
        <v>16.349799999999998</v>
      </c>
      <c r="BN102" s="36">
        <v>16.663</v>
      </c>
      <c r="BO102" s="37">
        <v>14.901999999999999</v>
      </c>
      <c r="BP102" s="35">
        <v>14.773899999999999</v>
      </c>
      <c r="BQ102" s="36">
        <v>16.273299999999999</v>
      </c>
      <c r="BR102" s="36">
        <v>14.077769999999999</v>
      </c>
      <c r="BS102" s="36">
        <v>14.140700000000001</v>
      </c>
      <c r="BT102" s="36">
        <v>12.9429</v>
      </c>
      <c r="BU102" s="36">
        <v>12.5679</v>
      </c>
      <c r="BV102" s="36">
        <v>13.823399999999999</v>
      </c>
      <c r="BW102" s="36">
        <v>12.3909</v>
      </c>
      <c r="BX102" s="36">
        <v>10.0228</v>
      </c>
      <c r="BY102" s="36">
        <v>8.3107000000000006</v>
      </c>
      <c r="BZ102" s="36">
        <v>11.2392</v>
      </c>
      <c r="CA102" s="38">
        <v>11.7288</v>
      </c>
      <c r="CB102" s="48">
        <v>9.4093</v>
      </c>
      <c r="CC102" s="51">
        <v>9.5797000000000008</v>
      </c>
      <c r="CD102" s="45">
        <v>9.6112000000000002</v>
      </c>
      <c r="CE102" s="45">
        <v>9.2126000000000001</v>
      </c>
      <c r="CF102" s="45">
        <v>10.5783</v>
      </c>
      <c r="CG102" s="45">
        <v>11.440099999999999</v>
      </c>
      <c r="CH102" s="45">
        <v>13.129799999999999</v>
      </c>
      <c r="CI102" s="36">
        <v>10.852600000000001</v>
      </c>
      <c r="CJ102" s="36">
        <v>11.3957</v>
      </c>
      <c r="CK102" s="45">
        <v>11.649699999999999</v>
      </c>
      <c r="CL102" s="45">
        <v>10.0975</v>
      </c>
      <c r="CM102" s="50">
        <v>10.0603</v>
      </c>
      <c r="CN102" s="74">
        <v>8.6785999999999994</v>
      </c>
      <c r="CO102" s="71">
        <v>9.8559000000000001</v>
      </c>
      <c r="CP102" s="71">
        <v>9.1492000000000004</v>
      </c>
      <c r="CQ102" s="71"/>
      <c r="CR102" s="71"/>
      <c r="CS102" s="71"/>
      <c r="CT102" s="71"/>
      <c r="CU102" s="71"/>
      <c r="CV102" s="71"/>
      <c r="CW102" s="71"/>
      <c r="CX102" s="71"/>
      <c r="CY102" s="71"/>
    </row>
    <row r="103" spans="1:103" ht="45" customHeight="1">
      <c r="A103" s="39">
        <v>54</v>
      </c>
      <c r="B103" s="40" t="s">
        <v>317</v>
      </c>
      <c r="C103" s="41" t="s">
        <v>318</v>
      </c>
      <c r="D103" s="41" t="s">
        <v>107</v>
      </c>
      <c r="E103" s="41" t="s">
        <v>117</v>
      </c>
      <c r="F103" s="41" t="s">
        <v>118</v>
      </c>
      <c r="G103" s="42" t="s">
        <v>114</v>
      </c>
      <c r="H103" s="35"/>
      <c r="I103" s="36"/>
      <c r="J103" s="36"/>
      <c r="K103" s="36"/>
      <c r="L103" s="36"/>
      <c r="M103" s="36"/>
      <c r="N103" s="36"/>
      <c r="O103" s="36"/>
      <c r="P103" s="36"/>
      <c r="Q103" s="36"/>
      <c r="R103" s="36"/>
      <c r="S103" s="37"/>
      <c r="T103" s="35"/>
      <c r="U103" s="36"/>
      <c r="V103" s="36"/>
      <c r="W103" s="36"/>
      <c r="X103" s="36"/>
      <c r="Y103" s="36"/>
      <c r="Z103" s="36"/>
      <c r="AA103" s="36"/>
      <c r="AB103" s="36"/>
      <c r="AC103" s="36"/>
      <c r="AD103" s="36"/>
      <c r="AE103" s="37"/>
      <c r="AF103" s="35"/>
      <c r="AG103" s="36"/>
      <c r="AH103" s="36"/>
      <c r="AI103" s="36">
        <v>9.6137999999999995</v>
      </c>
      <c r="AJ103" s="36">
        <v>9.6059000000000001</v>
      </c>
      <c r="AK103" s="36">
        <v>10.1379</v>
      </c>
      <c r="AL103" s="36">
        <v>10.1168</v>
      </c>
      <c r="AM103" s="36">
        <v>10.0776</v>
      </c>
      <c r="AN103" s="36">
        <v>10.226900000000001</v>
      </c>
      <c r="AO103" s="36">
        <v>10.3424</v>
      </c>
      <c r="AP103" s="36">
        <v>10.3453</v>
      </c>
      <c r="AQ103" s="37">
        <v>10.326499999999999</v>
      </c>
      <c r="AR103" s="35">
        <v>10.118499999999999</v>
      </c>
      <c r="AS103" s="36">
        <v>10.256500000000001</v>
      </c>
      <c r="AT103" s="36">
        <v>10.5212</v>
      </c>
      <c r="AU103" s="36">
        <v>10.277699999999999</v>
      </c>
      <c r="AV103" s="36">
        <v>9.7263000000000002</v>
      </c>
      <c r="AW103" s="36">
        <v>10.014900000000001</v>
      </c>
      <c r="AX103" s="36">
        <v>6.4561999999999999</v>
      </c>
      <c r="AY103" s="36">
        <v>7.9912999999999998</v>
      </c>
      <c r="AZ103" s="36">
        <v>6.3878000000000004</v>
      </c>
      <c r="BA103" s="36">
        <v>6.4726999999999997</v>
      </c>
      <c r="BB103" s="36">
        <v>6.5980999999999996</v>
      </c>
      <c r="BC103" s="37">
        <v>6.6607000000000003</v>
      </c>
      <c r="BD103" s="35">
        <v>6.2070999999999996</v>
      </c>
      <c r="BE103" s="36">
        <v>6.4215</v>
      </c>
      <c r="BF103" s="36">
        <v>6.8164999999999996</v>
      </c>
      <c r="BG103" s="36">
        <v>7.2282999999999999</v>
      </c>
      <c r="BH103" s="36">
        <v>7.2811000000000003</v>
      </c>
      <c r="BI103" s="36">
        <v>8.2571999999999992</v>
      </c>
      <c r="BJ103" s="36">
        <v>9.1240000000000006</v>
      </c>
      <c r="BK103" s="36">
        <v>9.1366999999999994</v>
      </c>
      <c r="BL103" s="36">
        <v>12.4817</v>
      </c>
      <c r="BM103" s="36">
        <v>12.657500000000001</v>
      </c>
      <c r="BN103" s="36">
        <v>14.841699999999999</v>
      </c>
      <c r="BO103" s="37">
        <v>14.686299999999999</v>
      </c>
      <c r="BP103" s="35">
        <v>14.151199999999999</v>
      </c>
      <c r="BQ103" s="36">
        <v>13.6457</v>
      </c>
      <c r="BR103" s="47">
        <v>13.721399999999999</v>
      </c>
      <c r="BS103" s="36">
        <v>13.251099999999999</v>
      </c>
      <c r="BT103" s="36">
        <v>12.298999999999999</v>
      </c>
      <c r="BU103" s="36">
        <v>11.658300000000001</v>
      </c>
      <c r="BV103" s="36">
        <v>11.417299999999999</v>
      </c>
      <c r="BW103" s="36">
        <v>10.984</v>
      </c>
      <c r="BX103" s="36">
        <v>10.713900000000001</v>
      </c>
      <c r="BY103" s="36">
        <v>10.5549</v>
      </c>
      <c r="BZ103" s="36">
        <v>7.7846000000000002</v>
      </c>
      <c r="CA103" s="38">
        <v>10.225899999999999</v>
      </c>
      <c r="CB103" s="52">
        <v>10.327999999999999</v>
      </c>
      <c r="CC103" s="51">
        <v>9.9651999999999994</v>
      </c>
      <c r="CD103" s="45">
        <v>10.031599999999999</v>
      </c>
      <c r="CE103" s="45">
        <v>10.3062</v>
      </c>
      <c r="CF103" s="45">
        <v>11.3263</v>
      </c>
      <c r="CG103" s="36">
        <v>8.7749000000000006</v>
      </c>
      <c r="CH103" s="36">
        <v>12.8566</v>
      </c>
      <c r="CI103" s="36">
        <v>12.6668</v>
      </c>
      <c r="CJ103" s="36">
        <v>12.6195</v>
      </c>
      <c r="CK103" s="45">
        <v>11.043200000000001</v>
      </c>
      <c r="CL103" s="45">
        <v>11.809200000000001</v>
      </c>
      <c r="CM103" s="50">
        <v>11.417</v>
      </c>
      <c r="CN103" s="36">
        <v>10.9567</v>
      </c>
      <c r="CO103" s="45">
        <v>11.2013</v>
      </c>
      <c r="CP103" s="45">
        <v>10.4177</v>
      </c>
      <c r="CQ103" s="45"/>
      <c r="CR103" s="45"/>
      <c r="CS103" s="45"/>
      <c r="CT103" s="45"/>
      <c r="CU103" s="45"/>
      <c r="CV103" s="45"/>
      <c r="CW103" s="45"/>
      <c r="CX103" s="45"/>
      <c r="CY103" s="45"/>
    </row>
    <row r="104" spans="1:103" ht="45" customHeight="1">
      <c r="A104" s="39">
        <v>129</v>
      </c>
      <c r="B104" s="40" t="s">
        <v>319</v>
      </c>
      <c r="C104" s="41" t="s">
        <v>320</v>
      </c>
      <c r="D104" s="41" t="s">
        <v>107</v>
      </c>
      <c r="E104" s="41" t="s">
        <v>166</v>
      </c>
      <c r="F104" s="41" t="s">
        <v>125</v>
      </c>
      <c r="G104" s="42" t="s">
        <v>110</v>
      </c>
      <c r="H104" s="35"/>
      <c r="I104" s="36"/>
      <c r="J104" s="36"/>
      <c r="K104" s="36"/>
      <c r="L104" s="36"/>
      <c r="M104" s="36"/>
      <c r="N104" s="36"/>
      <c r="O104" s="36"/>
      <c r="P104" s="36"/>
      <c r="Q104" s="36"/>
      <c r="R104" s="36"/>
      <c r="S104" s="37"/>
      <c r="T104" s="35"/>
      <c r="U104" s="36"/>
      <c r="V104" s="36"/>
      <c r="W104" s="36"/>
      <c r="X104" s="36"/>
      <c r="Y104" s="36"/>
      <c r="Z104" s="36"/>
      <c r="AA104" s="36"/>
      <c r="AB104" s="36"/>
      <c r="AC104" s="36"/>
      <c r="AD104" s="36"/>
      <c r="AE104" s="37"/>
      <c r="AF104" s="35"/>
      <c r="AG104" s="36"/>
      <c r="AH104" s="36"/>
      <c r="AI104" s="36"/>
      <c r="AJ104" s="36"/>
      <c r="AK104" s="36"/>
      <c r="AL104" s="36"/>
      <c r="AM104" s="36"/>
      <c r="AN104" s="36"/>
      <c r="AO104" s="36"/>
      <c r="AP104" s="36"/>
      <c r="AQ104" s="37"/>
      <c r="AR104" s="35"/>
      <c r="AS104" s="36"/>
      <c r="AT104" s="36"/>
      <c r="AU104" s="36"/>
      <c r="AV104" s="36"/>
      <c r="AW104" s="36"/>
      <c r="AX104" s="36"/>
      <c r="AY104" s="36"/>
      <c r="AZ104" s="36"/>
      <c r="BA104" s="36"/>
      <c r="BB104" s="36"/>
      <c r="BC104" s="37"/>
      <c r="BD104" s="35">
        <v>12.04</v>
      </c>
      <c r="BE104" s="36">
        <v>11.99</v>
      </c>
      <c r="BF104" s="36">
        <v>13.13</v>
      </c>
      <c r="BG104" s="36">
        <v>12.61</v>
      </c>
      <c r="BH104" s="36">
        <v>12.6</v>
      </c>
      <c r="BI104" s="36">
        <v>13.46</v>
      </c>
      <c r="BJ104" s="36">
        <v>13.49</v>
      </c>
      <c r="BK104" s="36">
        <v>14.93</v>
      </c>
      <c r="BL104" s="36">
        <v>15.58</v>
      </c>
      <c r="BM104" s="36">
        <v>15.76</v>
      </c>
      <c r="BN104" s="36">
        <v>16.366299999999999</v>
      </c>
      <c r="BO104" s="37">
        <v>14.96</v>
      </c>
      <c r="BP104" s="35">
        <v>15.801</v>
      </c>
      <c r="BQ104" s="36">
        <v>15.158099999999999</v>
      </c>
      <c r="BR104" s="36">
        <v>15.582700000000001</v>
      </c>
      <c r="BS104" s="36">
        <v>15.72</v>
      </c>
      <c r="BT104" s="36">
        <v>15.032400000000001</v>
      </c>
      <c r="BU104" s="36">
        <v>15.177099999999999</v>
      </c>
      <c r="BV104" s="36">
        <v>11.708</v>
      </c>
      <c r="BW104" s="36">
        <v>11.2982</v>
      </c>
      <c r="BX104" s="36">
        <v>11.7576</v>
      </c>
      <c r="BY104" s="36">
        <v>12.115600000000001</v>
      </c>
      <c r="BZ104" s="36">
        <v>11.1973</v>
      </c>
      <c r="CA104" s="38">
        <v>10.7654</v>
      </c>
      <c r="CB104" s="35">
        <v>10.8246</v>
      </c>
      <c r="CC104" s="36">
        <v>10.7424</v>
      </c>
      <c r="CD104" s="36">
        <v>10.5159</v>
      </c>
      <c r="CE104" s="36">
        <v>10.8005</v>
      </c>
      <c r="CF104" s="36">
        <v>8.8927999999999994</v>
      </c>
      <c r="CG104" s="36">
        <v>9.9031000000000002</v>
      </c>
      <c r="CH104" s="36">
        <v>11.2568</v>
      </c>
      <c r="CI104" s="36">
        <v>11.0246</v>
      </c>
      <c r="CJ104" s="36">
        <v>11.1372</v>
      </c>
      <c r="CK104" s="36">
        <v>10.9328</v>
      </c>
      <c r="CL104" s="36">
        <v>11.243499999999999</v>
      </c>
      <c r="CM104" s="38">
        <v>11.9444</v>
      </c>
      <c r="CN104" s="81">
        <v>8.6745999999999999</v>
      </c>
      <c r="CO104" s="70">
        <v>11.060700000000001</v>
      </c>
      <c r="CP104" s="70">
        <v>11.089600000000001</v>
      </c>
      <c r="CQ104" s="70"/>
      <c r="CR104" s="70"/>
      <c r="CS104" s="70"/>
      <c r="CT104" s="70"/>
      <c r="CU104" s="70"/>
      <c r="CV104" s="70"/>
      <c r="CW104" s="70"/>
      <c r="CX104" s="70"/>
      <c r="CY104" s="70"/>
    </row>
    <row r="105" spans="1:103" ht="45" customHeight="1">
      <c r="A105" s="39">
        <v>130</v>
      </c>
      <c r="B105" s="40" t="s">
        <v>321</v>
      </c>
      <c r="C105" s="41" t="s">
        <v>322</v>
      </c>
      <c r="D105" s="41" t="s">
        <v>107</v>
      </c>
      <c r="E105" s="41" t="s">
        <v>166</v>
      </c>
      <c r="F105" s="41" t="s">
        <v>125</v>
      </c>
      <c r="G105" s="42" t="s">
        <v>110</v>
      </c>
      <c r="H105" s="35"/>
      <c r="I105" s="36"/>
      <c r="J105" s="36"/>
      <c r="K105" s="36"/>
      <c r="L105" s="36"/>
      <c r="M105" s="36"/>
      <c r="N105" s="36"/>
      <c r="O105" s="36"/>
      <c r="P105" s="36"/>
      <c r="Q105" s="36"/>
      <c r="R105" s="36"/>
      <c r="S105" s="37"/>
      <c r="T105" s="35"/>
      <c r="U105" s="36"/>
      <c r="V105" s="36"/>
      <c r="W105" s="36"/>
      <c r="X105" s="36"/>
      <c r="Y105" s="36"/>
      <c r="Z105" s="36"/>
      <c r="AA105" s="36"/>
      <c r="AB105" s="36"/>
      <c r="AC105" s="36"/>
      <c r="AD105" s="36"/>
      <c r="AE105" s="37"/>
      <c r="AF105" s="35"/>
      <c r="AG105" s="36"/>
      <c r="AH105" s="36"/>
      <c r="AI105" s="36"/>
      <c r="AJ105" s="36"/>
      <c r="AK105" s="36"/>
      <c r="AL105" s="36"/>
      <c r="AM105" s="36"/>
      <c r="AN105" s="36"/>
      <c r="AO105" s="36"/>
      <c r="AP105" s="36"/>
      <c r="AQ105" s="37"/>
      <c r="AR105" s="35"/>
      <c r="AS105" s="36"/>
      <c r="AT105" s="36"/>
      <c r="AU105" s="36"/>
      <c r="AV105" s="36"/>
      <c r="AW105" s="36"/>
      <c r="AX105" s="36"/>
      <c r="AY105" s="36"/>
      <c r="AZ105" s="36"/>
      <c r="BA105" s="36"/>
      <c r="BB105" s="36"/>
      <c r="BC105" s="37"/>
      <c r="BD105" s="35"/>
      <c r="BE105" s="36"/>
      <c r="BF105" s="36"/>
      <c r="BG105" s="36">
        <v>15.299099999999999</v>
      </c>
      <c r="BH105" s="36">
        <v>14.7371</v>
      </c>
      <c r="BI105" s="36">
        <v>15.6675</v>
      </c>
      <c r="BJ105" s="36">
        <v>16.909500000000001</v>
      </c>
      <c r="BK105" s="36">
        <v>17.2683</v>
      </c>
      <c r="BL105" s="36">
        <v>16.611799999999999</v>
      </c>
      <c r="BM105" s="36">
        <v>16.622699999999998</v>
      </c>
      <c r="BN105" s="36">
        <v>16.731400000000001</v>
      </c>
      <c r="BO105" s="37">
        <v>17.077500000000001</v>
      </c>
      <c r="BP105" s="35">
        <v>17.624400000000001</v>
      </c>
      <c r="BQ105" s="36">
        <v>17.2346</v>
      </c>
      <c r="BR105" s="36">
        <v>17.050799999999999</v>
      </c>
      <c r="BS105" s="36">
        <v>17.642600000000002</v>
      </c>
      <c r="BT105" s="36">
        <v>17.154</v>
      </c>
      <c r="BU105" s="36">
        <v>16.973500000000001</v>
      </c>
      <c r="BV105" s="36">
        <v>16.6099</v>
      </c>
      <c r="BW105" s="36">
        <v>14.918100000000001</v>
      </c>
      <c r="BX105" s="36">
        <v>14.0465</v>
      </c>
      <c r="BY105" s="36">
        <v>13.92</v>
      </c>
      <c r="BZ105" s="36">
        <v>13.458500000000001</v>
      </c>
      <c r="CA105" s="38">
        <v>12.734999999999999</v>
      </c>
      <c r="CB105" s="52">
        <v>12.6401</v>
      </c>
      <c r="CC105" s="51">
        <v>12.727399999999999</v>
      </c>
      <c r="CD105" s="45">
        <v>13.2807</v>
      </c>
      <c r="CE105" s="36">
        <v>13.036199999999999</v>
      </c>
      <c r="CF105" s="45">
        <v>12.1275</v>
      </c>
      <c r="CG105" s="45">
        <v>12.442</v>
      </c>
      <c r="CH105" s="45">
        <v>11.856</v>
      </c>
      <c r="CI105" s="49">
        <v>14.918100000000001</v>
      </c>
      <c r="CJ105" s="36">
        <v>11.779199999999999</v>
      </c>
      <c r="CK105" s="45">
        <v>11.384399999999999</v>
      </c>
      <c r="CL105" s="45">
        <v>12.007999999999999</v>
      </c>
      <c r="CM105" s="50">
        <v>11.8056</v>
      </c>
      <c r="CN105" s="71">
        <v>11.991300000000001</v>
      </c>
      <c r="CO105" s="71">
        <v>11.980700000000001</v>
      </c>
      <c r="CP105" s="71">
        <v>12.257999999999999</v>
      </c>
      <c r="CQ105" s="71"/>
      <c r="CR105" s="71"/>
      <c r="CS105" s="71"/>
      <c r="CT105" s="71"/>
      <c r="CU105" s="71"/>
      <c r="CV105" s="71"/>
      <c r="CW105" s="71"/>
      <c r="CX105" s="71"/>
      <c r="CY105" s="71"/>
    </row>
    <row r="106" spans="1:103" ht="45" customHeight="1">
      <c r="A106" s="39">
        <v>50</v>
      </c>
      <c r="B106" s="40" t="s">
        <v>323</v>
      </c>
      <c r="C106" s="41" t="s">
        <v>324</v>
      </c>
      <c r="D106" s="41" t="s">
        <v>107</v>
      </c>
      <c r="E106" s="41" t="s">
        <v>113</v>
      </c>
      <c r="F106" s="41" t="s">
        <v>109</v>
      </c>
      <c r="G106" s="42" t="s">
        <v>110</v>
      </c>
      <c r="H106" s="35"/>
      <c r="I106" s="36"/>
      <c r="J106" s="36"/>
      <c r="K106" s="36"/>
      <c r="L106" s="36"/>
      <c r="M106" s="36"/>
      <c r="N106" s="36"/>
      <c r="O106" s="36"/>
      <c r="P106" s="36"/>
      <c r="Q106" s="36"/>
      <c r="R106" s="36"/>
      <c r="S106" s="37"/>
      <c r="T106" s="35"/>
      <c r="U106" s="36"/>
      <c r="V106" s="36"/>
      <c r="W106" s="36"/>
      <c r="X106" s="36"/>
      <c r="Y106" s="36"/>
      <c r="Z106" s="36"/>
      <c r="AA106" s="36"/>
      <c r="AB106" s="36"/>
      <c r="AC106" s="36"/>
      <c r="AD106" s="36"/>
      <c r="AE106" s="37"/>
      <c r="AF106" s="35"/>
      <c r="AG106" s="36"/>
      <c r="AH106" s="36"/>
      <c r="AI106" s="36"/>
      <c r="AJ106" s="36"/>
      <c r="AK106" s="36"/>
      <c r="AL106" s="36"/>
      <c r="AM106" s="36"/>
      <c r="AN106" s="36"/>
      <c r="AO106" s="36"/>
      <c r="AP106" s="36"/>
      <c r="AQ106" s="37"/>
      <c r="AR106" s="35"/>
      <c r="AS106" s="36"/>
      <c r="AT106" s="36"/>
      <c r="AU106" s="36"/>
      <c r="AV106" s="36"/>
      <c r="AW106" s="36"/>
      <c r="AX106" s="36"/>
      <c r="AY106" s="36"/>
      <c r="AZ106" s="36"/>
      <c r="BA106" s="36"/>
      <c r="BB106" s="36"/>
      <c r="BC106" s="37"/>
      <c r="BD106" s="35"/>
      <c r="BE106" s="36"/>
      <c r="BF106" s="36"/>
      <c r="BG106" s="36"/>
      <c r="BH106" s="36"/>
      <c r="BI106" s="36"/>
      <c r="BJ106" s="36"/>
      <c r="BK106" s="36"/>
      <c r="BL106" s="36"/>
      <c r="BM106" s="36"/>
      <c r="BN106" s="36"/>
      <c r="BO106" s="37"/>
      <c r="BP106" s="35">
        <v>11.295500000000001</v>
      </c>
      <c r="BQ106" s="36">
        <v>11.8309</v>
      </c>
      <c r="BR106" s="36">
        <v>12.328200000000001</v>
      </c>
      <c r="BS106" s="36">
        <v>11.235099999999999</v>
      </c>
      <c r="BT106" s="36">
        <v>11.1463</v>
      </c>
      <c r="BU106" s="36">
        <v>10.8223</v>
      </c>
      <c r="BV106" s="36">
        <v>9.6077999999999992</v>
      </c>
      <c r="BW106" s="36">
        <v>11.1576</v>
      </c>
      <c r="BX106" s="36">
        <v>9.9686000000000003</v>
      </c>
      <c r="BY106" s="36">
        <v>9.2726000000000006</v>
      </c>
      <c r="BZ106" s="36">
        <v>9.3887999999999998</v>
      </c>
      <c r="CA106" s="38">
        <v>10.0731</v>
      </c>
      <c r="CB106" s="35">
        <v>9.8836999999999993</v>
      </c>
      <c r="CC106" s="36">
        <v>10.144600000000001</v>
      </c>
      <c r="CD106" s="36">
        <v>10.5124</v>
      </c>
      <c r="CE106" s="36">
        <v>10.8706</v>
      </c>
      <c r="CF106" s="36">
        <v>10.885400000000001</v>
      </c>
      <c r="CG106" s="36">
        <v>10.3881</v>
      </c>
      <c r="CH106" s="36">
        <v>11.610799999999999</v>
      </c>
      <c r="CI106" s="36">
        <v>11.4352</v>
      </c>
      <c r="CJ106" s="36"/>
      <c r="CK106" s="36"/>
      <c r="CL106" s="36"/>
      <c r="CM106" s="38"/>
      <c r="CN106" s="36"/>
      <c r="CO106" s="36"/>
      <c r="CP106" s="36"/>
      <c r="CQ106" s="36"/>
      <c r="CR106" s="36"/>
      <c r="CS106" s="36"/>
      <c r="CT106" s="36"/>
      <c r="CU106" s="36"/>
      <c r="CV106" s="36"/>
      <c r="CW106" s="36"/>
      <c r="CX106" s="36"/>
      <c r="CY106" s="36"/>
    </row>
    <row r="107" spans="1:103" ht="45" customHeight="1">
      <c r="A107" s="39">
        <v>75</v>
      </c>
      <c r="B107" s="40" t="s">
        <v>325</v>
      </c>
      <c r="C107" s="41" t="s">
        <v>326</v>
      </c>
      <c r="D107" s="41" t="s">
        <v>107</v>
      </c>
      <c r="E107" s="41" t="s">
        <v>113</v>
      </c>
      <c r="F107" s="41" t="s">
        <v>109</v>
      </c>
      <c r="G107" s="42" t="s">
        <v>110</v>
      </c>
      <c r="H107" s="35"/>
      <c r="I107" s="36"/>
      <c r="J107" s="36"/>
      <c r="K107" s="36"/>
      <c r="L107" s="36"/>
      <c r="M107" s="36"/>
      <c r="N107" s="36"/>
      <c r="O107" s="36"/>
      <c r="P107" s="36"/>
      <c r="Q107" s="36"/>
      <c r="R107" s="36"/>
      <c r="S107" s="37"/>
      <c r="T107" s="35"/>
      <c r="U107" s="36"/>
      <c r="V107" s="36"/>
      <c r="W107" s="36"/>
      <c r="X107" s="36"/>
      <c r="Y107" s="36"/>
      <c r="Z107" s="36"/>
      <c r="AA107" s="36"/>
      <c r="AB107" s="36"/>
      <c r="AC107" s="36"/>
      <c r="AD107" s="36"/>
      <c r="AE107" s="37"/>
      <c r="AF107" s="35"/>
      <c r="AG107" s="36"/>
      <c r="AH107" s="36"/>
      <c r="AI107" s="36"/>
      <c r="AJ107" s="36"/>
      <c r="AK107" s="36"/>
      <c r="AL107" s="36"/>
      <c r="AM107" s="36"/>
      <c r="AN107" s="36"/>
      <c r="AO107" s="36"/>
      <c r="AP107" s="36"/>
      <c r="AQ107" s="37"/>
      <c r="AR107" s="35">
        <v>7.9112999999999998</v>
      </c>
      <c r="AS107" s="36">
        <v>8.4383999999999997</v>
      </c>
      <c r="AT107" s="36">
        <v>8.25</v>
      </c>
      <c r="AU107" s="36">
        <v>8.5398999999999994</v>
      </c>
      <c r="AV107" s="36">
        <v>8.1582000000000008</v>
      </c>
      <c r="AW107" s="36">
        <v>9.6571999999999996</v>
      </c>
      <c r="AX107" s="36">
        <v>8.8138000000000005</v>
      </c>
      <c r="AY107" s="36">
        <v>8.8474000000000004</v>
      </c>
      <c r="AZ107" s="36">
        <v>8.1133000000000006</v>
      </c>
      <c r="BA107" s="36">
        <v>7.9637000000000002</v>
      </c>
      <c r="BB107" s="36">
        <v>8.5028000000000006</v>
      </c>
      <c r="BC107" s="37">
        <v>8.3073999999999995</v>
      </c>
      <c r="BD107" s="35">
        <v>8.8007000000000009</v>
      </c>
      <c r="BE107" s="36">
        <v>8.141</v>
      </c>
      <c r="BF107" s="36">
        <v>8.0035000000000007</v>
      </c>
      <c r="BG107" s="36">
        <v>9.0411000000000001</v>
      </c>
      <c r="BH107" s="36">
        <v>8.7559000000000005</v>
      </c>
      <c r="BI107" s="36">
        <v>8.8775999999999993</v>
      </c>
      <c r="BJ107" s="36">
        <v>9.5068000000000001</v>
      </c>
      <c r="BK107" s="36">
        <v>9.1575000000000006</v>
      </c>
      <c r="BL107" s="36">
        <v>8.2036999999999995</v>
      </c>
      <c r="BM107" s="36">
        <v>8.6252999999999993</v>
      </c>
      <c r="BN107" s="36">
        <v>8.9488000000000003</v>
      </c>
      <c r="BO107" s="37">
        <v>9.0078999999999994</v>
      </c>
      <c r="BP107" s="35">
        <v>9.2111000000000001</v>
      </c>
      <c r="BQ107" s="36">
        <v>8.3297000000000008</v>
      </c>
      <c r="BR107" s="47">
        <v>8.3468</v>
      </c>
      <c r="BS107" s="36">
        <v>8.4352</v>
      </c>
      <c r="BT107" s="36">
        <v>9.0403000000000002</v>
      </c>
      <c r="BU107" s="36">
        <f>5.3848+0.569+0.4877+0.5782+0.6001+0.4326+0.2904+0.1632+0.2216+0.0017+0.0428+0.0094</f>
        <v>8.7814999999999994</v>
      </c>
      <c r="BV107" s="36">
        <v>8.3026</v>
      </c>
      <c r="BW107" s="36">
        <v>8.2169000000000008</v>
      </c>
      <c r="BX107" s="36">
        <v>8.0009999999999994</v>
      </c>
      <c r="BY107" s="36">
        <v>7.7990000000000004</v>
      </c>
      <c r="BZ107" s="36">
        <v>8.8313000000000006</v>
      </c>
      <c r="CA107" s="38">
        <v>7.6318999999999999</v>
      </c>
      <c r="CB107" s="63">
        <v>7.7064000000000004</v>
      </c>
      <c r="CC107" s="45">
        <v>7.7119</v>
      </c>
      <c r="CD107" s="45">
        <v>8.1509999999999998</v>
      </c>
      <c r="CE107" s="45">
        <v>7.8536000000000001</v>
      </c>
      <c r="CF107" s="45">
        <v>8.8236000000000008</v>
      </c>
      <c r="CG107" s="36">
        <v>10.4621</v>
      </c>
      <c r="CH107" s="45">
        <v>8.4088999999999992</v>
      </c>
      <c r="CI107" s="45">
        <v>8.3621999999999996</v>
      </c>
      <c r="CJ107" s="36">
        <v>8.7438000000000002</v>
      </c>
      <c r="CK107" s="36">
        <v>7.9318</v>
      </c>
      <c r="CL107" s="51">
        <v>8.1034000000000006</v>
      </c>
      <c r="CM107" s="55">
        <v>8.5077999999999996</v>
      </c>
      <c r="CN107" s="49">
        <v>8.2036999999999995</v>
      </c>
      <c r="CO107" s="51">
        <v>7.6717000000000004</v>
      </c>
      <c r="CP107" s="51">
        <v>7.9188000000000001</v>
      </c>
      <c r="CQ107" s="51"/>
      <c r="CR107" s="51"/>
      <c r="CS107" s="51"/>
      <c r="CT107" s="51"/>
      <c r="CU107" s="51"/>
      <c r="CV107" s="51"/>
      <c r="CW107" s="51"/>
      <c r="CX107" s="51"/>
      <c r="CY107" s="51"/>
    </row>
    <row r="108" spans="1:103" ht="45" customHeight="1">
      <c r="A108" s="39">
        <v>107</v>
      </c>
      <c r="B108" s="40" t="s">
        <v>327</v>
      </c>
      <c r="C108" s="41" t="s">
        <v>328</v>
      </c>
      <c r="D108" s="41" t="s">
        <v>107</v>
      </c>
      <c r="E108" s="41" t="s">
        <v>113</v>
      </c>
      <c r="F108" s="41" t="s">
        <v>109</v>
      </c>
      <c r="G108" s="42" t="s">
        <v>110</v>
      </c>
      <c r="H108" s="35">
        <v>9.2102000000000004</v>
      </c>
      <c r="I108" s="36">
        <v>9.6917000000000009</v>
      </c>
      <c r="J108" s="36">
        <v>10.244199999999999</v>
      </c>
      <c r="K108" s="36">
        <v>10.4834</v>
      </c>
      <c r="L108" s="36">
        <v>10.2721</v>
      </c>
      <c r="M108" s="36">
        <v>9.8768999999999991</v>
      </c>
      <c r="N108" s="36">
        <v>10.392899999999999</v>
      </c>
      <c r="O108" s="36">
        <v>10.4642</v>
      </c>
      <c r="P108" s="36">
        <v>10.524699999999999</v>
      </c>
      <c r="Q108" s="36">
        <v>10.5791</v>
      </c>
      <c r="R108" s="36">
        <v>10.5702</v>
      </c>
      <c r="S108" s="37">
        <v>9.3185000000000002</v>
      </c>
      <c r="T108" s="35">
        <v>8.2292000000000005</v>
      </c>
      <c r="U108" s="36">
        <v>10.1015</v>
      </c>
      <c r="V108" s="36">
        <v>9.9651999999999994</v>
      </c>
      <c r="W108" s="36">
        <v>10.1957</v>
      </c>
      <c r="X108" s="36">
        <v>9.9855</v>
      </c>
      <c r="Y108" s="36">
        <v>9.1151</v>
      </c>
      <c r="Z108" s="36">
        <v>9.8952000000000009</v>
      </c>
      <c r="AA108" s="36">
        <v>9.3341999999999992</v>
      </c>
      <c r="AB108" s="36">
        <v>9.1717999999999993</v>
      </c>
      <c r="AC108" s="36">
        <v>9.3111999999999995</v>
      </c>
      <c r="AD108" s="36">
        <v>9.1013999999999999</v>
      </c>
      <c r="AE108" s="37">
        <v>10.0177</v>
      </c>
      <c r="AF108" s="35">
        <v>9.1667000000000005</v>
      </c>
      <c r="AG108" s="36">
        <v>9.4465000000000003</v>
      </c>
      <c r="AH108" s="36">
        <v>9.4703999999999997</v>
      </c>
      <c r="AI108" s="36">
        <v>9.2559000000000005</v>
      </c>
      <c r="AJ108" s="36">
        <v>9.0191999999999997</v>
      </c>
      <c r="AK108" s="36">
        <v>8.9102999999999994</v>
      </c>
      <c r="AL108" s="36">
        <v>8.7409999999999997</v>
      </c>
      <c r="AM108" s="36">
        <v>8.5541</v>
      </c>
      <c r="AN108" s="36">
        <v>8.5197000000000003</v>
      </c>
      <c r="AO108" s="36">
        <v>8.3294999999999995</v>
      </c>
      <c r="AP108" s="36">
        <v>8.6378000000000004</v>
      </c>
      <c r="AQ108" s="37">
        <v>9.8501999999999992</v>
      </c>
      <c r="AR108" s="35">
        <v>11.193099999999999</v>
      </c>
      <c r="AS108" s="36">
        <v>8.3074999999999992</v>
      </c>
      <c r="AT108" s="36">
        <v>8.6592000000000002</v>
      </c>
      <c r="AU108" s="36">
        <v>8.702</v>
      </c>
      <c r="AV108" s="36">
        <v>7.8701999999999996</v>
      </c>
      <c r="AW108" s="36">
        <v>8.7986000000000004</v>
      </c>
      <c r="AX108" s="36">
        <v>7.9650999999999996</v>
      </c>
      <c r="AY108" s="36">
        <v>8.1324000000000005</v>
      </c>
      <c r="AZ108" s="36">
        <v>7.5332999999999997</v>
      </c>
      <c r="BA108" s="36">
        <v>7.5437000000000003</v>
      </c>
      <c r="BB108" s="36">
        <v>8.23</v>
      </c>
      <c r="BC108" s="37">
        <v>7.8773999999999997</v>
      </c>
      <c r="BD108" s="35">
        <v>7.7114000000000003</v>
      </c>
      <c r="BE108" s="36">
        <v>6.6931000000000003</v>
      </c>
      <c r="BF108" s="36">
        <v>7.2375999999999996</v>
      </c>
      <c r="BG108" s="36">
        <v>8.3274000000000008</v>
      </c>
      <c r="BH108" s="36">
        <v>7.7542999999999997</v>
      </c>
      <c r="BI108" s="36">
        <v>7.8901000000000003</v>
      </c>
      <c r="BJ108" s="36">
        <v>8.4016000000000002</v>
      </c>
      <c r="BK108" s="36">
        <v>8.2155000000000005</v>
      </c>
      <c r="BL108" s="36">
        <v>7.7705000000000002</v>
      </c>
      <c r="BM108" s="36">
        <v>8.0777999999999999</v>
      </c>
      <c r="BN108" s="36">
        <v>7.1997</v>
      </c>
      <c r="BO108" s="37">
        <v>7.6219999999999999</v>
      </c>
      <c r="BP108" s="35">
        <v>7.7710999999999997</v>
      </c>
      <c r="BQ108" s="36">
        <v>7.2971000000000004</v>
      </c>
      <c r="BR108" s="36">
        <v>7.2641</v>
      </c>
      <c r="BS108" s="36">
        <v>7.4016999999999999</v>
      </c>
      <c r="BT108" s="36">
        <v>8.1646999999999998</v>
      </c>
      <c r="BU108" s="36">
        <v>8.7613000000000003</v>
      </c>
      <c r="BV108" s="36">
        <v>9.4229000000000003</v>
      </c>
      <c r="BW108" s="36">
        <v>8.5946999999999996</v>
      </c>
      <c r="BX108" s="36">
        <v>8.3550000000000004</v>
      </c>
      <c r="BY108" s="36">
        <v>9.3594000000000008</v>
      </c>
      <c r="BZ108" s="36">
        <v>12.3095</v>
      </c>
      <c r="CA108" s="38">
        <v>11.2597</v>
      </c>
      <c r="CB108" s="48">
        <v>11.103899999999999</v>
      </c>
      <c r="CC108" s="51">
        <v>11.8666</v>
      </c>
      <c r="CD108" s="45">
        <v>11.9495</v>
      </c>
      <c r="CE108" s="45">
        <v>11.348000000000001</v>
      </c>
      <c r="CF108" s="45">
        <v>11.9788</v>
      </c>
      <c r="CG108" s="45">
        <v>12.874499999999999</v>
      </c>
      <c r="CH108" s="45">
        <v>11.9574</v>
      </c>
      <c r="CI108" s="45">
        <v>12.0016</v>
      </c>
      <c r="CJ108" s="49">
        <v>12.776999999999999</v>
      </c>
      <c r="CK108" s="36">
        <v>12.290800000000001</v>
      </c>
      <c r="CL108" s="57">
        <v>8.6994000000000007</v>
      </c>
      <c r="CM108" s="56">
        <v>8.9763000000000002</v>
      </c>
      <c r="CN108" s="74">
        <v>7.8166000000000002</v>
      </c>
      <c r="CO108" s="66">
        <v>7.3346</v>
      </c>
      <c r="CP108" s="66">
        <v>11.1027</v>
      </c>
      <c r="CQ108" s="66"/>
      <c r="CR108" s="66"/>
      <c r="CS108" s="66"/>
      <c r="CT108" s="66"/>
      <c r="CU108" s="66"/>
      <c r="CV108" s="66"/>
      <c r="CW108" s="66"/>
      <c r="CX108" s="66"/>
      <c r="CY108" s="66"/>
    </row>
    <row r="109" spans="1:103" ht="45" customHeight="1">
      <c r="A109" s="39">
        <v>11</v>
      </c>
      <c r="B109" s="40" t="s">
        <v>329</v>
      </c>
      <c r="C109" s="41" t="s">
        <v>330</v>
      </c>
      <c r="D109" s="41" t="s">
        <v>107</v>
      </c>
      <c r="E109" s="41" t="s">
        <v>117</v>
      </c>
      <c r="F109" s="41" t="s">
        <v>118</v>
      </c>
      <c r="G109" s="42" t="s">
        <v>110</v>
      </c>
      <c r="H109" s="35">
        <v>6.4248000000000003</v>
      </c>
      <c r="I109" s="36">
        <v>6.3830999999999998</v>
      </c>
      <c r="J109" s="36">
        <v>7.2374999999999998</v>
      </c>
      <c r="K109" s="36">
        <v>7.9238</v>
      </c>
      <c r="L109" s="36">
        <v>7.577</v>
      </c>
      <c r="M109" s="36">
        <v>7.6101000000000001</v>
      </c>
      <c r="N109" s="36">
        <v>7.6786000000000003</v>
      </c>
      <c r="O109" s="36">
        <v>7.6738</v>
      </c>
      <c r="P109" s="36">
        <v>6.6448999999999998</v>
      </c>
      <c r="Q109" s="36">
        <v>6.4198000000000004</v>
      </c>
      <c r="R109" s="36">
        <v>7.5457999999999998</v>
      </c>
      <c r="S109" s="37">
        <v>6.8228</v>
      </c>
      <c r="T109" s="35">
        <v>7.0022000000000002</v>
      </c>
      <c r="U109" s="36">
        <v>7.2972000000000001</v>
      </c>
      <c r="V109" s="36">
        <v>7.0884</v>
      </c>
      <c r="W109" s="36">
        <v>7.6386000000000003</v>
      </c>
      <c r="X109" s="36">
        <v>8.9405000000000001</v>
      </c>
      <c r="Y109" s="36">
        <v>8.1096000000000004</v>
      </c>
      <c r="Z109" s="36">
        <v>8.9955999999999996</v>
      </c>
      <c r="AA109" s="36">
        <v>7.2671000000000001</v>
      </c>
      <c r="AB109" s="36">
        <v>6.3917999999999999</v>
      </c>
      <c r="AC109" s="36">
        <v>5.1276999999999999</v>
      </c>
      <c r="AD109" s="36">
        <v>6.9063999999999997</v>
      </c>
      <c r="AE109" s="37">
        <v>7.6184000000000003</v>
      </c>
      <c r="AF109" s="35">
        <v>7.2042000000000002</v>
      </c>
      <c r="AG109" s="36">
        <v>5.968</v>
      </c>
      <c r="AH109" s="36">
        <v>6.2579000000000002</v>
      </c>
      <c r="AI109" s="36">
        <v>5.7603</v>
      </c>
      <c r="AJ109" s="36">
        <v>5.2178000000000004</v>
      </c>
      <c r="AK109" s="36">
        <v>5.3510999999999997</v>
      </c>
      <c r="AL109" s="36">
        <v>5.8688000000000002</v>
      </c>
      <c r="AM109" s="36">
        <v>5.2793000000000001</v>
      </c>
      <c r="AN109" s="36">
        <v>5.0369999999999999</v>
      </c>
      <c r="AO109" s="36">
        <v>6.2370000000000001</v>
      </c>
      <c r="AP109" s="36">
        <v>5.5593000000000004</v>
      </c>
      <c r="AQ109" s="37">
        <v>4.1970000000000001</v>
      </c>
      <c r="AR109" s="35">
        <v>5.3903999999999996</v>
      </c>
      <c r="AS109" s="36">
        <v>6.056</v>
      </c>
      <c r="AT109" s="36">
        <v>5.6238999999999999</v>
      </c>
      <c r="AU109" s="36">
        <v>6.9463999999999997</v>
      </c>
      <c r="AV109" s="36">
        <v>6.7850999999999999</v>
      </c>
      <c r="AW109" s="36">
        <v>9.3843999999999994</v>
      </c>
      <c r="AX109" s="36">
        <v>8.8719999999999999</v>
      </c>
      <c r="AY109" s="36">
        <v>9.8773999999999997</v>
      </c>
      <c r="AZ109" s="36">
        <v>10.4899</v>
      </c>
      <c r="BA109" s="36">
        <v>6.8688000000000002</v>
      </c>
      <c r="BB109" s="36">
        <v>8.0170999999999992</v>
      </c>
      <c r="BC109" s="37">
        <v>6.5997000000000003</v>
      </c>
      <c r="BD109" s="35">
        <v>4.0768000000000004</v>
      </c>
      <c r="BE109" s="36">
        <v>9.9872999999999994</v>
      </c>
      <c r="BF109" s="36">
        <v>8.5688999999999993</v>
      </c>
      <c r="BG109" s="36">
        <v>9.0626999999999995</v>
      </c>
      <c r="BH109" s="36">
        <v>8.7715999999999994</v>
      </c>
      <c r="BI109" s="36">
        <v>9.7997999999999994</v>
      </c>
      <c r="BJ109" s="36">
        <v>11.4345</v>
      </c>
      <c r="BK109" s="36">
        <v>12.3748</v>
      </c>
      <c r="BL109" s="36">
        <v>10.9985</v>
      </c>
      <c r="BM109" s="36">
        <v>12.306800000000001</v>
      </c>
      <c r="BN109" s="36">
        <v>13.6235</v>
      </c>
      <c r="BO109" s="37">
        <v>13.178599999999999</v>
      </c>
      <c r="BP109" s="35">
        <v>12.282400000000001</v>
      </c>
      <c r="BQ109" s="36">
        <v>10.587199999999999</v>
      </c>
      <c r="BR109" s="47">
        <v>11.517300000000001</v>
      </c>
      <c r="BS109" s="36">
        <v>10.3583</v>
      </c>
      <c r="BT109" s="36">
        <v>10.775399999999999</v>
      </c>
      <c r="BU109" s="36">
        <v>13.2593</v>
      </c>
      <c r="BV109" s="36">
        <v>12.204000000000001</v>
      </c>
      <c r="BW109" s="36">
        <v>11.616300000000001</v>
      </c>
      <c r="BX109" s="36">
        <v>11.562099999999999</v>
      </c>
      <c r="BY109" s="36">
        <v>12.0083</v>
      </c>
      <c r="BZ109" s="36">
        <v>12.6233</v>
      </c>
      <c r="CA109" s="38">
        <v>10.822800000000001</v>
      </c>
      <c r="CB109" s="48">
        <v>12.2471</v>
      </c>
      <c r="CC109" s="51">
        <v>13.305099999999999</v>
      </c>
      <c r="CD109" s="44">
        <v>11.156700000000001</v>
      </c>
      <c r="CE109" s="45">
        <v>13.433699999999998</v>
      </c>
      <c r="CF109" s="45">
        <v>17.960899999999999</v>
      </c>
      <c r="CG109" s="45">
        <v>14.801500000000001</v>
      </c>
      <c r="CH109" s="45">
        <v>16.113399999999999</v>
      </c>
      <c r="CI109" s="45">
        <v>13.061999999999999</v>
      </c>
      <c r="CJ109" s="45">
        <v>11.3788</v>
      </c>
      <c r="CK109" s="45">
        <v>12.9131</v>
      </c>
      <c r="CL109" s="45">
        <v>15.033799999999999</v>
      </c>
      <c r="CM109" s="50">
        <v>13.9543</v>
      </c>
      <c r="CN109" s="45">
        <f>14.2216-0.7421-0.2791-0.1933</f>
        <v>13.007099999999999</v>
      </c>
      <c r="CO109" s="45">
        <f>14.5625-0.7592-0.3631-0.1933</f>
        <v>13.2469</v>
      </c>
      <c r="CP109" s="45">
        <v>13.9595</v>
      </c>
      <c r="CQ109" s="45">
        <v>15.6104</v>
      </c>
      <c r="CR109" s="45"/>
      <c r="CS109" s="45"/>
      <c r="CT109" s="45"/>
      <c r="CU109" s="45"/>
      <c r="CV109" s="45"/>
      <c r="CW109" s="45"/>
      <c r="CX109" s="45"/>
      <c r="CY109" s="45"/>
    </row>
    <row r="110" spans="1:103" ht="45" customHeight="1">
      <c r="A110" s="39">
        <v>71</v>
      </c>
      <c r="B110" s="40" t="s">
        <v>331</v>
      </c>
      <c r="C110" s="41" t="s">
        <v>332</v>
      </c>
      <c r="D110" s="41" t="s">
        <v>107</v>
      </c>
      <c r="E110" s="41" t="s">
        <v>117</v>
      </c>
      <c r="F110" s="41" t="s">
        <v>118</v>
      </c>
      <c r="G110" s="42" t="s">
        <v>110</v>
      </c>
      <c r="H110" s="35">
        <v>8.34</v>
      </c>
      <c r="I110" s="36">
        <v>9.0299999999999994</v>
      </c>
      <c r="J110" s="36">
        <v>9.27</v>
      </c>
      <c r="K110" s="36">
        <v>9.81</v>
      </c>
      <c r="L110" s="36">
        <v>9.09</v>
      </c>
      <c r="M110" s="36">
        <v>9.15</v>
      </c>
      <c r="N110" s="36">
        <v>9.18</v>
      </c>
      <c r="O110" s="36">
        <v>8.9499999999999993</v>
      </c>
      <c r="P110" s="36">
        <v>8.5</v>
      </c>
      <c r="Q110" s="36">
        <v>8.83</v>
      </c>
      <c r="R110" s="36">
        <v>9.23</v>
      </c>
      <c r="S110" s="37">
        <v>8.59</v>
      </c>
      <c r="T110" s="35">
        <v>8.86</v>
      </c>
      <c r="U110" s="36">
        <v>9.31</v>
      </c>
      <c r="V110" s="36">
        <v>9.08</v>
      </c>
      <c r="W110" s="36">
        <v>8.91</v>
      </c>
      <c r="X110" s="36">
        <v>9.35</v>
      </c>
      <c r="Y110" s="36">
        <v>8.9700000000000006</v>
      </c>
      <c r="Z110" s="36">
        <v>9.48</v>
      </c>
      <c r="AA110" s="36">
        <v>8.52</v>
      </c>
      <c r="AB110" s="36">
        <v>8.01</v>
      </c>
      <c r="AC110" s="36">
        <v>7.26</v>
      </c>
      <c r="AD110" s="36">
        <v>7.93</v>
      </c>
      <c r="AE110" s="37">
        <v>8.4499999999999993</v>
      </c>
      <c r="AF110" s="35">
        <v>8.3699999999999992</v>
      </c>
      <c r="AG110" s="36">
        <v>7.58</v>
      </c>
      <c r="AH110" s="36">
        <v>8.02</v>
      </c>
      <c r="AI110" s="36">
        <v>8.1</v>
      </c>
      <c r="AJ110" s="36">
        <v>7.6</v>
      </c>
      <c r="AK110" s="36">
        <v>7.39</v>
      </c>
      <c r="AL110" s="36">
        <v>7.4</v>
      </c>
      <c r="AM110" s="36">
        <v>7.11</v>
      </c>
      <c r="AN110" s="36">
        <v>6.57</v>
      </c>
      <c r="AO110" s="36">
        <v>7.3</v>
      </c>
      <c r="AP110" s="36">
        <v>7.32</v>
      </c>
      <c r="AQ110" s="37">
        <v>6.3</v>
      </c>
      <c r="AR110" s="35">
        <v>7.01</v>
      </c>
      <c r="AS110" s="36">
        <v>7.64</v>
      </c>
      <c r="AT110" s="36">
        <v>7.61</v>
      </c>
      <c r="AU110" s="36">
        <v>8.5399999999999991</v>
      </c>
      <c r="AV110" s="36">
        <v>8.83</v>
      </c>
      <c r="AW110" s="36">
        <v>10.65</v>
      </c>
      <c r="AX110" s="36">
        <v>9.06</v>
      </c>
      <c r="AY110" s="36">
        <v>11.33</v>
      </c>
      <c r="AZ110" s="36">
        <v>11.53</v>
      </c>
      <c r="BA110" s="36">
        <v>8.57</v>
      </c>
      <c r="BB110" s="36">
        <v>7.78</v>
      </c>
      <c r="BC110" s="37">
        <v>7.73</v>
      </c>
      <c r="BD110" s="35">
        <v>8.8699999999999992</v>
      </c>
      <c r="BE110" s="36">
        <v>11.43</v>
      </c>
      <c r="BF110" s="36">
        <v>10.62</v>
      </c>
      <c r="BG110" s="36">
        <v>11.15</v>
      </c>
      <c r="BH110" s="36">
        <v>11.37</v>
      </c>
      <c r="BI110" s="36">
        <v>11.83</v>
      </c>
      <c r="BJ110" s="36">
        <v>13.93</v>
      </c>
      <c r="BK110" s="36">
        <v>13.35</v>
      </c>
      <c r="BL110" s="36">
        <v>13.13</v>
      </c>
      <c r="BM110" s="36">
        <v>13.75</v>
      </c>
      <c r="BN110" s="36">
        <v>13.93</v>
      </c>
      <c r="BO110" s="37">
        <v>14.15</v>
      </c>
      <c r="BP110" s="35">
        <v>12.54</v>
      </c>
      <c r="BQ110" s="36">
        <v>11.51</v>
      </c>
      <c r="BR110" s="47">
        <v>10.92</v>
      </c>
      <c r="BS110" s="36">
        <v>10.62</v>
      </c>
      <c r="BT110" s="36">
        <v>10.28</v>
      </c>
      <c r="BU110" s="36">
        <v>12.710599999999999</v>
      </c>
      <c r="BV110" s="36">
        <v>11.4985</v>
      </c>
      <c r="BW110" s="36">
        <v>11.731</v>
      </c>
      <c r="BX110" s="36">
        <v>11.542299999999999</v>
      </c>
      <c r="BY110" s="36">
        <v>12.1874</v>
      </c>
      <c r="BZ110" s="36">
        <v>13.2134</v>
      </c>
      <c r="CA110" s="38">
        <v>11.8995</v>
      </c>
      <c r="CB110" s="52">
        <v>12.3865</v>
      </c>
      <c r="CC110" s="51">
        <v>13.4306</v>
      </c>
      <c r="CD110" s="45">
        <v>11.996499999999999</v>
      </c>
      <c r="CE110" s="45">
        <v>14.567399999999999</v>
      </c>
      <c r="CF110" s="45">
        <v>17.2669</v>
      </c>
      <c r="CG110" s="36">
        <v>9.2302</v>
      </c>
      <c r="CH110" s="36">
        <v>15.7927</v>
      </c>
      <c r="CI110" s="45">
        <v>13.7888</v>
      </c>
      <c r="CJ110" s="36">
        <v>15.041</v>
      </c>
      <c r="CK110" s="45">
        <v>14.1503</v>
      </c>
      <c r="CL110" s="45">
        <v>14.460900000000001</v>
      </c>
      <c r="CM110" s="50">
        <v>13.112500000000001</v>
      </c>
      <c r="CN110" s="45">
        <v>13.360099999999999</v>
      </c>
      <c r="CO110" s="45">
        <v>14.2682</v>
      </c>
      <c r="CP110" s="45">
        <v>13.5982</v>
      </c>
      <c r="CQ110" s="45"/>
      <c r="CR110" s="45"/>
      <c r="CS110" s="45"/>
      <c r="CT110" s="45"/>
      <c r="CU110" s="45"/>
      <c r="CV110" s="45"/>
      <c r="CW110" s="45"/>
      <c r="CX110" s="45"/>
      <c r="CY110" s="45"/>
    </row>
    <row r="111" spans="1:103" ht="45" customHeight="1">
      <c r="A111" s="39">
        <v>31</v>
      </c>
      <c r="B111" s="40" t="s">
        <v>333</v>
      </c>
      <c r="C111" s="41" t="s">
        <v>334</v>
      </c>
      <c r="D111" s="41" t="s">
        <v>107</v>
      </c>
      <c r="E111" s="41" t="s">
        <v>135</v>
      </c>
      <c r="F111" s="41" t="s">
        <v>118</v>
      </c>
      <c r="G111" s="42" t="s">
        <v>110</v>
      </c>
      <c r="H111" s="35"/>
      <c r="I111" s="36"/>
      <c r="J111" s="36"/>
      <c r="K111" s="36"/>
      <c r="L111" s="36"/>
      <c r="M111" s="36"/>
      <c r="N111" s="36"/>
      <c r="O111" s="36"/>
      <c r="P111" s="36"/>
      <c r="Q111" s="36"/>
      <c r="R111" s="36"/>
      <c r="S111" s="37"/>
      <c r="T111" s="35"/>
      <c r="U111" s="36"/>
      <c r="V111" s="36"/>
      <c r="W111" s="36"/>
      <c r="X111" s="36"/>
      <c r="Y111" s="36"/>
      <c r="Z111" s="36"/>
      <c r="AA111" s="36"/>
      <c r="AB111" s="36"/>
      <c r="AC111" s="36"/>
      <c r="AD111" s="36"/>
      <c r="AE111" s="37"/>
      <c r="AF111" s="35"/>
      <c r="AG111" s="36"/>
      <c r="AH111" s="36"/>
      <c r="AI111" s="36"/>
      <c r="AJ111" s="36"/>
      <c r="AK111" s="36"/>
      <c r="AL111" s="36"/>
      <c r="AM111" s="36"/>
      <c r="AN111" s="36"/>
      <c r="AO111" s="36"/>
      <c r="AP111" s="36"/>
      <c r="AQ111" s="37"/>
      <c r="AR111" s="35">
        <v>9.8402999999999992</v>
      </c>
      <c r="AS111" s="36">
        <v>10.021699999999999</v>
      </c>
      <c r="AT111" s="36">
        <v>9.9192999999999998</v>
      </c>
      <c r="AU111" s="36">
        <v>10.9244</v>
      </c>
      <c r="AV111" s="36">
        <v>10.5845</v>
      </c>
      <c r="AW111" s="36">
        <v>12.998799999999999</v>
      </c>
      <c r="AX111" s="36">
        <v>12.215400000000001</v>
      </c>
      <c r="AY111" s="36">
        <v>13.464700000000001</v>
      </c>
      <c r="AZ111" s="36">
        <v>13.1661</v>
      </c>
      <c r="BA111" s="36">
        <v>10.644399999999999</v>
      </c>
      <c r="BB111" s="36">
        <v>10.2963</v>
      </c>
      <c r="BC111" s="37">
        <v>11.783099999999999</v>
      </c>
      <c r="BD111" s="35">
        <v>12.9261</v>
      </c>
      <c r="BE111" s="36">
        <v>11.289199999999999</v>
      </c>
      <c r="BF111" s="36">
        <v>10.718400000000001</v>
      </c>
      <c r="BG111" s="36">
        <v>11.6957</v>
      </c>
      <c r="BH111" s="36">
        <v>12.3047</v>
      </c>
      <c r="BI111" s="36">
        <v>13.163</v>
      </c>
      <c r="BJ111" s="36">
        <v>14.278</v>
      </c>
      <c r="BK111" s="36">
        <v>15.2904</v>
      </c>
      <c r="BL111" s="36">
        <v>14.196400000000001</v>
      </c>
      <c r="BM111" s="36">
        <v>15.446199999999999</v>
      </c>
      <c r="BN111" s="36">
        <v>17.3919</v>
      </c>
      <c r="BO111" s="37">
        <v>17.1585</v>
      </c>
      <c r="BP111" s="35">
        <v>16.811800000000002</v>
      </c>
      <c r="BQ111" s="36">
        <v>15.931100000000001</v>
      </c>
      <c r="BR111" s="47">
        <v>16.321300000000001</v>
      </c>
      <c r="BS111" s="36">
        <v>15.3141</v>
      </c>
      <c r="BT111" s="36">
        <v>15.28</v>
      </c>
      <c r="BU111" s="36">
        <v>15.170999999999999</v>
      </c>
      <c r="BV111" s="36">
        <v>14.3576</v>
      </c>
      <c r="BW111" s="36">
        <v>12.895200000000001</v>
      </c>
      <c r="BX111" s="36">
        <v>12.566599999999999</v>
      </c>
      <c r="BY111" s="36">
        <v>13.2844</v>
      </c>
      <c r="BZ111" s="36">
        <v>14.427199999999999</v>
      </c>
      <c r="CA111" s="38">
        <v>13.236000000000001</v>
      </c>
      <c r="CB111" s="52">
        <v>13.535</v>
      </c>
      <c r="CC111" s="45">
        <v>14.515599999999999</v>
      </c>
      <c r="CD111" s="45">
        <v>12.838699999999999</v>
      </c>
      <c r="CE111" s="45">
        <v>14.9397</v>
      </c>
      <c r="CF111" s="45">
        <v>16.398599999999998</v>
      </c>
      <c r="CG111" s="36">
        <v>9.5891000000000002</v>
      </c>
      <c r="CH111" s="36">
        <v>15.9993</v>
      </c>
      <c r="CI111" s="36">
        <v>13.853899999999999</v>
      </c>
      <c r="CJ111" s="36">
        <v>15.698399999999999</v>
      </c>
      <c r="CK111" s="45">
        <v>12.3918</v>
      </c>
      <c r="CL111" s="36">
        <v>14.045</v>
      </c>
      <c r="CM111" s="50">
        <v>12.421200000000001</v>
      </c>
      <c r="CN111" s="36">
        <v>12.1106</v>
      </c>
      <c r="CO111" s="45">
        <v>12.607200000000001</v>
      </c>
      <c r="CP111" s="45">
        <v>11.8149</v>
      </c>
      <c r="CQ111" s="45"/>
      <c r="CR111" s="45"/>
      <c r="CS111" s="45"/>
      <c r="CT111" s="45"/>
      <c r="CU111" s="45"/>
      <c r="CV111" s="45"/>
      <c r="CW111" s="45"/>
      <c r="CX111" s="45"/>
      <c r="CY111" s="45"/>
    </row>
    <row r="112" spans="1:103" ht="45" customHeight="1">
      <c r="A112" s="39">
        <v>65</v>
      </c>
      <c r="B112" s="40" t="s">
        <v>335</v>
      </c>
      <c r="C112" s="41" t="s">
        <v>336</v>
      </c>
      <c r="D112" s="41" t="s">
        <v>107</v>
      </c>
      <c r="E112" s="41" t="s">
        <v>135</v>
      </c>
      <c r="F112" s="41" t="s">
        <v>118</v>
      </c>
      <c r="G112" s="42" t="s">
        <v>110</v>
      </c>
      <c r="H112" s="35">
        <v>8.6150000000000002</v>
      </c>
      <c r="I112" s="36">
        <v>9.1234000000000002</v>
      </c>
      <c r="J112" s="36">
        <v>9.33</v>
      </c>
      <c r="K112" s="36">
        <v>9.7281999999999993</v>
      </c>
      <c r="L112" s="36">
        <v>9.2482000000000006</v>
      </c>
      <c r="M112" s="36">
        <v>9.4854000000000003</v>
      </c>
      <c r="N112" s="36">
        <v>9.6484000000000005</v>
      </c>
      <c r="O112" s="36">
        <v>9.6003000000000007</v>
      </c>
      <c r="P112" s="36">
        <v>9.1586999999999996</v>
      </c>
      <c r="Q112" s="36">
        <v>9.5206</v>
      </c>
      <c r="R112" s="36" t="s">
        <v>337</v>
      </c>
      <c r="S112" s="37">
        <v>9.1062999999999992</v>
      </c>
      <c r="T112" s="35">
        <v>9.3186</v>
      </c>
      <c r="U112" s="36">
        <v>9.7150999999999996</v>
      </c>
      <c r="V112" s="36">
        <v>9.0869</v>
      </c>
      <c r="W112" s="36">
        <v>9.6263000000000005</v>
      </c>
      <c r="X112" s="36">
        <v>10.4343</v>
      </c>
      <c r="Y112" s="36">
        <v>10.035</v>
      </c>
      <c r="Z112" s="36">
        <v>10.3911</v>
      </c>
      <c r="AA112" s="36">
        <v>9.3088999999999995</v>
      </c>
      <c r="AB112" s="36">
        <v>8.8034999999999997</v>
      </c>
      <c r="AC112" s="36">
        <v>8.4671000000000003</v>
      </c>
      <c r="AD112" s="36">
        <v>8.9487000000000005</v>
      </c>
      <c r="AE112" s="37">
        <v>9.5701000000000001</v>
      </c>
      <c r="AF112" s="35">
        <v>9.3428000000000004</v>
      </c>
      <c r="AG112" s="36">
        <v>8.5282</v>
      </c>
      <c r="AH112" s="36">
        <v>8.7143999999999995</v>
      </c>
      <c r="AI112" s="36">
        <v>8.4221000000000004</v>
      </c>
      <c r="AJ112" s="36">
        <v>8.3225999999999996</v>
      </c>
      <c r="AK112" s="36">
        <v>8.2638999999999996</v>
      </c>
      <c r="AL112" s="36">
        <v>8.6394000000000002</v>
      </c>
      <c r="AM112" s="36">
        <v>8.4153000000000002</v>
      </c>
      <c r="AN112" s="36">
        <v>8.1190999999999995</v>
      </c>
      <c r="AO112" s="36">
        <v>9.4461999999999993</v>
      </c>
      <c r="AP112" s="36">
        <v>8.4143000000000008</v>
      </c>
      <c r="AQ112" s="37">
        <v>8.3077000000000005</v>
      </c>
      <c r="AR112" s="35">
        <v>8.2376000000000005</v>
      </c>
      <c r="AS112" s="36">
        <v>8.8587000000000007</v>
      </c>
      <c r="AT112" s="36">
        <v>8.6652000000000005</v>
      </c>
      <c r="AU112" s="36">
        <v>9.2178000000000004</v>
      </c>
      <c r="AV112" s="36">
        <v>8.9443999999999999</v>
      </c>
      <c r="AW112" s="36">
        <v>10.823499999999999</v>
      </c>
      <c r="AX112" s="36">
        <v>10.1082</v>
      </c>
      <c r="AY112" s="36">
        <v>10.6922</v>
      </c>
      <c r="AZ112" s="36">
        <v>10.6549</v>
      </c>
      <c r="BA112" s="36">
        <v>8.9535</v>
      </c>
      <c r="BB112" s="36">
        <v>9.6607000000000003</v>
      </c>
      <c r="BC112" s="37">
        <v>8.6410999999999998</v>
      </c>
      <c r="BD112" s="35">
        <v>7.4394</v>
      </c>
      <c r="BE112" s="36">
        <v>10.9884</v>
      </c>
      <c r="BF112" s="36">
        <v>10.1478</v>
      </c>
      <c r="BG112" s="36">
        <v>10.3787</v>
      </c>
      <c r="BH112" s="36">
        <v>10.4681</v>
      </c>
      <c r="BI112" s="36">
        <v>10.322699999999999</v>
      </c>
      <c r="BJ112" s="36">
        <v>11.0268</v>
      </c>
      <c r="BK112" s="36">
        <v>11.325900000000001</v>
      </c>
      <c r="BL112" s="36">
        <v>10.306100000000001</v>
      </c>
      <c r="BM112" s="36">
        <v>11.1188</v>
      </c>
      <c r="BN112" s="36">
        <v>12.085699999999999</v>
      </c>
      <c r="BO112" s="37">
        <v>11.807600000000001</v>
      </c>
      <c r="BP112" s="35">
        <v>11.5106</v>
      </c>
      <c r="BQ112" s="36">
        <v>11.2746</v>
      </c>
      <c r="BR112" s="47">
        <v>11.9602</v>
      </c>
      <c r="BS112" s="36">
        <v>11.755000000000001</v>
      </c>
      <c r="BT112" s="36">
        <v>11.9404</v>
      </c>
      <c r="BU112" s="36">
        <v>13.0945</v>
      </c>
      <c r="BV112" s="36">
        <v>12.157400000000001</v>
      </c>
      <c r="BW112" s="36">
        <v>12.157400000000001</v>
      </c>
      <c r="BX112" s="36">
        <v>11.0723</v>
      </c>
      <c r="BY112" s="36">
        <v>11.814</v>
      </c>
      <c r="BZ112" s="36">
        <v>11.8857</v>
      </c>
      <c r="CA112" s="38">
        <v>11.768800000000001</v>
      </c>
      <c r="CB112" s="52">
        <v>11.976100000000001</v>
      </c>
      <c r="CC112" s="36">
        <v>12.944000000000001</v>
      </c>
      <c r="CD112" s="45">
        <v>11.433400000000001</v>
      </c>
      <c r="CE112" s="45">
        <v>13.124000000000001</v>
      </c>
      <c r="CF112" s="45">
        <v>14.0001</v>
      </c>
      <c r="CG112" s="45">
        <v>9.1712000000000007</v>
      </c>
      <c r="CH112" s="36">
        <v>12.0998</v>
      </c>
      <c r="CI112" s="45">
        <v>12.7195</v>
      </c>
      <c r="CJ112" s="36">
        <v>14.415699999999999</v>
      </c>
      <c r="CK112" s="45">
        <v>11.6227</v>
      </c>
      <c r="CL112" s="45">
        <v>12.9842</v>
      </c>
      <c r="CM112" s="50">
        <v>11.919</v>
      </c>
      <c r="CN112" s="36">
        <v>11.489800000000001</v>
      </c>
      <c r="CO112" s="45">
        <v>12.132199999999999</v>
      </c>
      <c r="CP112" s="45">
        <v>11.1843</v>
      </c>
      <c r="CQ112" s="45"/>
      <c r="CR112" s="45"/>
      <c r="CS112" s="45"/>
      <c r="CT112" s="45"/>
      <c r="CU112" s="45"/>
      <c r="CV112" s="45"/>
      <c r="CW112" s="45"/>
      <c r="CX112" s="45"/>
      <c r="CY112" s="45"/>
    </row>
    <row r="113" spans="1:103" ht="45" customHeight="1">
      <c r="A113" s="39">
        <v>12</v>
      </c>
      <c r="B113" s="40" t="s">
        <v>338</v>
      </c>
      <c r="C113" s="41" t="s">
        <v>339</v>
      </c>
      <c r="D113" s="41" t="s">
        <v>107</v>
      </c>
      <c r="E113" s="41" t="s">
        <v>154</v>
      </c>
      <c r="F113" s="41" t="s">
        <v>118</v>
      </c>
      <c r="G113" s="42" t="s">
        <v>110</v>
      </c>
      <c r="H113" s="35">
        <v>11.309699999999999</v>
      </c>
      <c r="I113" s="36">
        <v>12.130100000000001</v>
      </c>
      <c r="J113" s="36">
        <v>12.551600000000001</v>
      </c>
      <c r="K113" s="36">
        <v>13.008900000000001</v>
      </c>
      <c r="L113" s="36">
        <v>12.0634</v>
      </c>
      <c r="M113" s="36">
        <v>11.6023</v>
      </c>
      <c r="N113" s="36">
        <v>12.0975</v>
      </c>
      <c r="O113" s="36">
        <v>12.051</v>
      </c>
      <c r="P113" s="36">
        <v>12.051</v>
      </c>
      <c r="Q113" s="36">
        <v>12.2904</v>
      </c>
      <c r="R113" s="36">
        <v>12.819000000000001</v>
      </c>
      <c r="S113" s="37">
        <v>13.1088</v>
      </c>
      <c r="T113" s="35">
        <v>12.021800000000001</v>
      </c>
      <c r="U113" s="36">
        <v>9.3887999999999998</v>
      </c>
      <c r="V113" s="36">
        <v>9.0421999999999993</v>
      </c>
      <c r="W113" s="36">
        <v>8.9480000000000004</v>
      </c>
      <c r="X113" s="36">
        <v>9.2852999999999994</v>
      </c>
      <c r="Y113" s="36">
        <v>9.6925000000000008</v>
      </c>
      <c r="Z113" s="36">
        <v>10.2445</v>
      </c>
      <c r="AA113" s="36">
        <v>8.8545999999999996</v>
      </c>
      <c r="AB113" s="36">
        <v>8.6365999999999996</v>
      </c>
      <c r="AC113" s="36">
        <v>8.3918999999999997</v>
      </c>
      <c r="AD113" s="36">
        <v>8.3918999999999997</v>
      </c>
      <c r="AE113" s="37">
        <v>8.9624000000000006</v>
      </c>
      <c r="AF113" s="35">
        <v>9.8551000000000002</v>
      </c>
      <c r="AG113" s="36">
        <v>8.6281999999999996</v>
      </c>
      <c r="AH113" s="36">
        <v>8.9559999999999995</v>
      </c>
      <c r="AI113" s="36">
        <v>8.6910000000000007</v>
      </c>
      <c r="AJ113" s="36">
        <v>8.3268000000000004</v>
      </c>
      <c r="AK113" s="36">
        <v>8.0481999999999996</v>
      </c>
      <c r="AL113" s="36">
        <v>8.1143000000000001</v>
      </c>
      <c r="AM113" s="36">
        <v>7.5640999999999998</v>
      </c>
      <c r="AN113" s="36">
        <v>7.5571999999999999</v>
      </c>
      <c r="AO113" s="36">
        <v>8.2021999999999995</v>
      </c>
      <c r="AP113" s="36">
        <v>7.3803000000000001</v>
      </c>
      <c r="AQ113" s="37">
        <v>7.5492999999999997</v>
      </c>
      <c r="AR113" s="35">
        <v>8.9503000000000004</v>
      </c>
      <c r="AS113" s="36">
        <v>9.8780000000000001</v>
      </c>
      <c r="AT113" s="36">
        <v>10.6052</v>
      </c>
      <c r="AU113" s="36">
        <v>11.1896</v>
      </c>
      <c r="AV113" s="36">
        <v>11.3065</v>
      </c>
      <c r="AW113" s="36">
        <v>10.4922</v>
      </c>
      <c r="AX113" s="36">
        <v>11.388299999999999</v>
      </c>
      <c r="AY113" s="36">
        <v>12.1402</v>
      </c>
      <c r="AZ113" s="36">
        <v>11.200799999999999</v>
      </c>
      <c r="BA113" s="36">
        <v>10.2941</v>
      </c>
      <c r="BB113" s="36">
        <v>10.730499999999999</v>
      </c>
      <c r="BC113" s="37">
        <v>11.4086</v>
      </c>
      <c r="BD113" s="35">
        <v>12.8734</v>
      </c>
      <c r="BE113" s="36">
        <v>13.8131</v>
      </c>
      <c r="BF113" s="36">
        <v>15.6265</v>
      </c>
      <c r="BG113" s="36">
        <v>14.520799999999999</v>
      </c>
      <c r="BH113" s="36">
        <v>14.803900000000001</v>
      </c>
      <c r="BI113" s="36">
        <v>15.356</v>
      </c>
      <c r="BJ113" s="36">
        <v>16.421500000000002</v>
      </c>
      <c r="BK113" s="36">
        <v>16.893799999999999</v>
      </c>
      <c r="BL113" s="36">
        <v>18.155799999999999</v>
      </c>
      <c r="BM113" s="36">
        <v>18.045200000000001</v>
      </c>
      <c r="BN113" s="36">
        <v>17.831099999999999</v>
      </c>
      <c r="BO113" s="37">
        <v>16.249199999999998</v>
      </c>
      <c r="BP113" s="35">
        <v>14.7514</v>
      </c>
      <c r="BQ113" s="36">
        <v>15.9917</v>
      </c>
      <c r="BR113" s="47">
        <v>16.079999999999998</v>
      </c>
      <c r="BS113" s="36">
        <v>15.192500000000001</v>
      </c>
      <c r="BT113" s="36">
        <v>14.5206</v>
      </c>
      <c r="BU113" s="36">
        <v>13.880699999999999</v>
      </c>
      <c r="BV113" s="36">
        <v>13.8132</v>
      </c>
      <c r="BW113" s="36">
        <v>12.2714</v>
      </c>
      <c r="BX113" s="36">
        <v>12.4535</v>
      </c>
      <c r="BY113" s="36">
        <v>12.4541</v>
      </c>
      <c r="BZ113" s="36">
        <v>13.652799999999999</v>
      </c>
      <c r="CA113" s="38">
        <v>14.0997</v>
      </c>
      <c r="CB113" s="52">
        <v>14.085900000000001</v>
      </c>
      <c r="CC113" s="45">
        <v>12.522500000000001</v>
      </c>
      <c r="CD113" s="45">
        <v>12.495200000000001</v>
      </c>
      <c r="CE113" s="51">
        <v>12.7547</v>
      </c>
      <c r="CF113" s="45">
        <v>12.2049</v>
      </c>
      <c r="CG113" s="36">
        <v>13.680199999999999</v>
      </c>
      <c r="CH113" s="51">
        <v>14.0565</v>
      </c>
      <c r="CI113" s="45">
        <v>13.958</v>
      </c>
      <c r="CJ113" s="36">
        <v>16.499099999999999</v>
      </c>
      <c r="CK113" s="51">
        <v>13.3489</v>
      </c>
      <c r="CL113" s="51">
        <v>14.674200000000001</v>
      </c>
      <c r="CM113" s="55">
        <v>12.2447</v>
      </c>
      <c r="CN113" s="51">
        <v>12.286799999999999</v>
      </c>
      <c r="CO113" s="51">
        <v>13.798999999999999</v>
      </c>
      <c r="CP113" s="51">
        <v>13.437900000000001</v>
      </c>
      <c r="CQ113" s="51"/>
      <c r="CR113" s="51"/>
      <c r="CS113" s="51"/>
      <c r="CT113" s="51"/>
      <c r="CU113" s="51"/>
      <c r="CV113" s="51"/>
      <c r="CW113" s="51"/>
      <c r="CX113" s="51"/>
      <c r="CY113" s="51"/>
    </row>
    <row r="114" spans="1:103" ht="45" customHeight="1">
      <c r="A114" s="39">
        <v>131</v>
      </c>
      <c r="B114" s="40" t="s">
        <v>340</v>
      </c>
      <c r="C114" s="41" t="s">
        <v>341</v>
      </c>
      <c r="D114" s="41" t="s">
        <v>107</v>
      </c>
      <c r="E114" s="41" t="s">
        <v>141</v>
      </c>
      <c r="F114" s="41" t="s">
        <v>109</v>
      </c>
      <c r="G114" s="42" t="s">
        <v>110</v>
      </c>
      <c r="H114" s="35"/>
      <c r="I114" s="36"/>
      <c r="J114" s="36"/>
      <c r="K114" s="36"/>
      <c r="L114" s="36"/>
      <c r="M114" s="36"/>
      <c r="N114" s="36"/>
      <c r="O114" s="36"/>
      <c r="P114" s="36"/>
      <c r="Q114" s="36"/>
      <c r="R114" s="36"/>
      <c r="S114" s="37"/>
      <c r="T114" s="35"/>
      <c r="U114" s="36"/>
      <c r="V114" s="36"/>
      <c r="W114" s="36"/>
      <c r="X114" s="36"/>
      <c r="Y114" s="36"/>
      <c r="Z114" s="36"/>
      <c r="AA114" s="36"/>
      <c r="AB114" s="36"/>
      <c r="AC114" s="36"/>
      <c r="AD114" s="36"/>
      <c r="AE114" s="37"/>
      <c r="AF114" s="35"/>
      <c r="AG114" s="36"/>
      <c r="AH114" s="36"/>
      <c r="AI114" s="36"/>
      <c r="AJ114" s="36"/>
      <c r="AK114" s="36"/>
      <c r="AL114" s="36"/>
      <c r="AM114" s="36"/>
      <c r="AN114" s="36"/>
      <c r="AO114" s="36"/>
      <c r="AP114" s="36"/>
      <c r="AQ114" s="37"/>
      <c r="AR114" s="35"/>
      <c r="AS114" s="36"/>
      <c r="AT114" s="36"/>
      <c r="AU114" s="36"/>
      <c r="AV114" s="36"/>
      <c r="AW114" s="36"/>
      <c r="AX114" s="36"/>
      <c r="AY114" s="36">
        <v>11.2349</v>
      </c>
      <c r="AZ114" s="36">
        <v>10.85</v>
      </c>
      <c r="BA114" s="36">
        <v>11.9941</v>
      </c>
      <c r="BB114" s="36">
        <v>12.8409</v>
      </c>
      <c r="BC114" s="37">
        <v>12.5451</v>
      </c>
      <c r="BD114" s="35">
        <v>13.294</v>
      </c>
      <c r="BE114" s="36">
        <v>11.894</v>
      </c>
      <c r="BF114" s="36">
        <v>13.2088</v>
      </c>
      <c r="BG114" s="36">
        <v>13.4452</v>
      </c>
      <c r="BH114" s="36">
        <v>14.123799999999999</v>
      </c>
      <c r="BI114" s="36">
        <v>14.251200000000001</v>
      </c>
      <c r="BJ114" s="36">
        <v>16.493300000000001</v>
      </c>
      <c r="BK114" s="36"/>
      <c r="BL114" s="36"/>
      <c r="BM114" s="36">
        <v>17.7028</v>
      </c>
      <c r="BN114" s="36">
        <v>19.114000000000001</v>
      </c>
      <c r="BO114" s="37">
        <v>21.834599999999998</v>
      </c>
      <c r="BP114" s="35">
        <v>20.196400000000001</v>
      </c>
      <c r="BQ114" s="36">
        <v>21.0886</v>
      </c>
      <c r="BR114" s="36">
        <v>15.804600000000001</v>
      </c>
      <c r="BS114" s="36">
        <v>14.988</v>
      </c>
      <c r="BT114" s="36">
        <v>13.638400000000001</v>
      </c>
      <c r="BU114" s="36">
        <v>12.3491</v>
      </c>
      <c r="BV114" s="36">
        <v>13.8682</v>
      </c>
      <c r="BW114" s="36">
        <v>12.817500000000001</v>
      </c>
      <c r="BX114" s="36">
        <v>12.1256</v>
      </c>
      <c r="BY114" s="36">
        <v>12.3363</v>
      </c>
      <c r="BZ114" s="36">
        <v>11.8515</v>
      </c>
      <c r="CA114" s="38">
        <v>12.0113</v>
      </c>
      <c r="CB114" s="48">
        <v>13.504899999999999</v>
      </c>
      <c r="CC114" s="51">
        <v>12.601800000000001</v>
      </c>
      <c r="CD114" s="44">
        <v>11.6038</v>
      </c>
      <c r="CE114" s="45">
        <v>11.1738</v>
      </c>
      <c r="CF114" s="44">
        <v>11.170299999999999</v>
      </c>
      <c r="CG114" s="45">
        <v>11.575100000000001</v>
      </c>
      <c r="CH114" s="49">
        <v>11.235300000000001</v>
      </c>
      <c r="CI114" s="49">
        <v>11.7575</v>
      </c>
      <c r="CJ114" s="36">
        <v>11.8665</v>
      </c>
      <c r="CK114" s="45">
        <v>12.060600000000001</v>
      </c>
      <c r="CL114" s="45"/>
      <c r="CM114" s="50"/>
      <c r="CN114" s="81">
        <v>10.9916</v>
      </c>
      <c r="CO114" s="53">
        <v>11.301</v>
      </c>
      <c r="CP114" s="53"/>
      <c r="CQ114" s="53"/>
      <c r="CR114" s="53"/>
      <c r="CS114" s="53"/>
      <c r="CT114" s="53"/>
      <c r="CU114" s="53"/>
      <c r="CV114" s="53"/>
      <c r="CW114" s="53"/>
      <c r="CX114" s="53"/>
      <c r="CY114" s="53"/>
    </row>
    <row r="115" spans="1:103" ht="45" customHeight="1">
      <c r="A115" s="39">
        <v>132</v>
      </c>
      <c r="B115" s="40" t="s">
        <v>342</v>
      </c>
      <c r="C115" s="41" t="s">
        <v>343</v>
      </c>
      <c r="D115" s="41" t="s">
        <v>107</v>
      </c>
      <c r="E115" s="41" t="s">
        <v>113</v>
      </c>
      <c r="F115" s="41" t="s">
        <v>109</v>
      </c>
      <c r="G115" s="42" t="s">
        <v>114</v>
      </c>
      <c r="H115" s="35"/>
      <c r="I115" s="36"/>
      <c r="J115" s="36"/>
      <c r="K115" s="36"/>
      <c r="L115" s="36"/>
      <c r="M115" s="36"/>
      <c r="N115" s="36"/>
      <c r="O115" s="36"/>
      <c r="P115" s="36"/>
      <c r="Q115" s="36"/>
      <c r="R115" s="36"/>
      <c r="S115" s="37"/>
      <c r="T115" s="35"/>
      <c r="U115" s="36"/>
      <c r="V115" s="36"/>
      <c r="W115" s="36"/>
      <c r="X115" s="36"/>
      <c r="Y115" s="36"/>
      <c r="Z115" s="36"/>
      <c r="AA115" s="36"/>
      <c r="AB115" s="36"/>
      <c r="AC115" s="36"/>
      <c r="AD115" s="36"/>
      <c r="AE115" s="37"/>
      <c r="AF115" s="35"/>
      <c r="AG115" s="36"/>
      <c r="AH115" s="36"/>
      <c r="AI115" s="36"/>
      <c r="AJ115" s="36"/>
      <c r="AK115" s="36"/>
      <c r="AL115" s="36"/>
      <c r="AM115" s="36"/>
      <c r="AN115" s="36"/>
      <c r="AO115" s="36"/>
      <c r="AP115" s="36"/>
      <c r="AQ115" s="37"/>
      <c r="AR115" s="35"/>
      <c r="AS115" s="36"/>
      <c r="AT115" s="36"/>
      <c r="AU115" s="36"/>
      <c r="AV115" s="36"/>
      <c r="AW115" s="36"/>
      <c r="AX115" s="36"/>
      <c r="AY115" s="36"/>
      <c r="AZ115" s="36"/>
      <c r="BA115" s="36"/>
      <c r="BB115" s="36"/>
      <c r="BC115" s="37"/>
      <c r="BD115" s="35">
        <v>11.88</v>
      </c>
      <c r="BE115" s="36">
        <v>12.94</v>
      </c>
      <c r="BF115" s="36">
        <v>14.52</v>
      </c>
      <c r="BG115" s="36"/>
      <c r="BH115" s="36"/>
      <c r="BI115" s="36"/>
      <c r="BJ115" s="36">
        <v>17.222799999999999</v>
      </c>
      <c r="BK115" s="36">
        <v>17.7637</v>
      </c>
      <c r="BL115" s="36">
        <v>15.171099999999999</v>
      </c>
      <c r="BM115" s="36">
        <v>15.137700000000001</v>
      </c>
      <c r="BN115" s="36">
        <v>15.6592</v>
      </c>
      <c r="BO115" s="37">
        <v>15.148199999999999</v>
      </c>
      <c r="BP115" s="35">
        <v>16.977599999999999</v>
      </c>
      <c r="BQ115" s="36">
        <v>19.231400000000001</v>
      </c>
      <c r="BR115" s="36">
        <v>12.335599999999999</v>
      </c>
      <c r="BS115" s="36">
        <v>13.4657</v>
      </c>
      <c r="BT115" s="36">
        <v>13.1912</v>
      </c>
      <c r="BU115" s="36">
        <v>13.23</v>
      </c>
      <c r="BV115" s="36">
        <v>13.3</v>
      </c>
      <c r="BW115" s="36">
        <f>9.2564+1.0953+1.121+1.9127</f>
        <v>13.385400000000001</v>
      </c>
      <c r="BX115" s="36">
        <f>1.958+1.121+1.1433+9.2842</f>
        <v>13.506499999999999</v>
      </c>
      <c r="BY115" s="36">
        <f>1.121+1.1685+1.9837+9.3521</f>
        <v>13.625299999999999</v>
      </c>
      <c r="BZ115" s="36">
        <f>9.3247+1.3014+1.121+1.9814</f>
        <v>13.7285</v>
      </c>
      <c r="CA115" s="38">
        <f>8.9934+1.2516+1.121+1.9446</f>
        <v>13.310599999999999</v>
      </c>
      <c r="CB115" s="52">
        <v>13.59</v>
      </c>
      <c r="CC115" s="51">
        <v>12.42</v>
      </c>
      <c r="CD115" s="45">
        <v>9.5568999999999988</v>
      </c>
      <c r="CE115" s="45">
        <v>10.917</v>
      </c>
      <c r="CF115" s="45">
        <f>7.2793+0.983+1.121+1.5246</f>
        <v>10.9079</v>
      </c>
      <c r="CG115" s="36">
        <f>7.4767+1.1864+1.121+1.5742</f>
        <v>11.3583</v>
      </c>
      <c r="CH115" s="36">
        <f>7.1934+1.0265+1.121+0.15393</f>
        <v>9.4948300000000003</v>
      </c>
      <c r="CI115" s="36">
        <f>7.4558+1.799+1.121+1.5083</f>
        <v>11.8841</v>
      </c>
      <c r="CJ115" s="36">
        <f>7.785+1.5396+1.121+1.5493</f>
        <v>11.994900000000001</v>
      </c>
      <c r="CK115" s="36">
        <f>7.5601+1.4502+1.121+1.6032</f>
        <v>11.734500000000001</v>
      </c>
      <c r="CL115" s="57">
        <f>7.0923+1.469+1.121+1.5487</f>
        <v>11.231</v>
      </c>
      <c r="CM115" s="56">
        <f>7.2641+1.3489+1.121+1.551</f>
        <v>11.285</v>
      </c>
      <c r="CN115" s="36">
        <f>7.2739+1.3327+1.121+1.5505</f>
        <v>11.2781</v>
      </c>
      <c r="CO115" s="57">
        <f>6.9799+1.3097+1.121+1.3892</f>
        <v>10.799800000000001</v>
      </c>
      <c r="CP115" s="57">
        <f>6.739+1.4679+1.121+1.504</f>
        <v>10.831899999999999</v>
      </c>
      <c r="CQ115" s="57"/>
      <c r="CR115" s="57"/>
      <c r="CS115" s="57"/>
      <c r="CT115" s="57"/>
      <c r="CU115" s="57"/>
      <c r="CV115" s="57"/>
      <c r="CW115" s="57"/>
      <c r="CX115" s="57"/>
      <c r="CY115" s="57"/>
    </row>
    <row r="116" spans="1:103" ht="45" customHeight="1">
      <c r="A116" s="39">
        <v>63</v>
      </c>
      <c r="B116" s="40" t="s">
        <v>344</v>
      </c>
      <c r="C116" s="41" t="s">
        <v>345</v>
      </c>
      <c r="D116" s="41" t="s">
        <v>134</v>
      </c>
      <c r="E116" s="41" t="s">
        <v>157</v>
      </c>
      <c r="F116" s="41" t="s">
        <v>109</v>
      </c>
      <c r="G116" s="42" t="s">
        <v>110</v>
      </c>
      <c r="H116" s="35"/>
      <c r="I116" s="36"/>
      <c r="J116" s="36"/>
      <c r="K116" s="36"/>
      <c r="L116" s="36"/>
      <c r="M116" s="36"/>
      <c r="N116" s="36"/>
      <c r="O116" s="36"/>
      <c r="P116" s="36"/>
      <c r="Q116" s="36"/>
      <c r="R116" s="36"/>
      <c r="S116" s="37"/>
      <c r="T116" s="35"/>
      <c r="U116" s="36"/>
      <c r="V116" s="36"/>
      <c r="W116" s="36"/>
      <c r="X116" s="36"/>
      <c r="Y116" s="36"/>
      <c r="Z116" s="36"/>
      <c r="AA116" s="36"/>
      <c r="AB116" s="36"/>
      <c r="AC116" s="36"/>
      <c r="AD116" s="36"/>
      <c r="AE116" s="37"/>
      <c r="AF116" s="35"/>
      <c r="AG116" s="36"/>
      <c r="AH116" s="36"/>
      <c r="AI116" s="36"/>
      <c r="AJ116" s="36"/>
      <c r="AK116" s="36"/>
      <c r="AL116" s="36"/>
      <c r="AM116" s="36"/>
      <c r="AN116" s="36"/>
      <c r="AO116" s="36"/>
      <c r="AP116" s="36"/>
      <c r="AQ116" s="37"/>
      <c r="AR116" s="35"/>
      <c r="AS116" s="36"/>
      <c r="AT116" s="36"/>
      <c r="AU116" s="36"/>
      <c r="AV116" s="36"/>
      <c r="AW116" s="36"/>
      <c r="AX116" s="36"/>
      <c r="AY116" s="36"/>
      <c r="AZ116" s="36"/>
      <c r="BA116" s="36"/>
      <c r="BB116" s="36"/>
      <c r="BC116" s="37"/>
      <c r="BD116" s="35"/>
      <c r="BE116" s="36"/>
      <c r="BF116" s="36"/>
      <c r="BG116" s="36"/>
      <c r="BH116" s="36"/>
      <c r="BI116" s="36"/>
      <c r="BJ116" s="36"/>
      <c r="BK116" s="36"/>
      <c r="BL116" s="36">
        <v>10.1579</v>
      </c>
      <c r="BM116" s="36">
        <v>10.1891</v>
      </c>
      <c r="BN116" s="36">
        <v>10.1554</v>
      </c>
      <c r="BO116" s="37">
        <v>11.194599999999999</v>
      </c>
      <c r="BP116" s="35">
        <v>11.1877</v>
      </c>
      <c r="BQ116" s="36">
        <v>9.1789000000000005</v>
      </c>
      <c r="BR116" s="36">
        <v>12.9824</v>
      </c>
      <c r="BS116" s="36">
        <v>11.910299999999999</v>
      </c>
      <c r="BT116" s="36">
        <v>12.2559</v>
      </c>
      <c r="BU116" s="36">
        <v>12.235900000000001</v>
      </c>
      <c r="BV116" s="36">
        <v>12.1662</v>
      </c>
      <c r="BW116" s="36">
        <v>12.2425</v>
      </c>
      <c r="BX116" s="36">
        <v>18.6509</v>
      </c>
      <c r="BY116" s="36">
        <f>21.8387-2.2282</f>
        <v>19.610499999999998</v>
      </c>
      <c r="BZ116" s="36">
        <f>20.5184-2.1018</f>
        <v>18.416599999999999</v>
      </c>
      <c r="CA116" s="38">
        <f>20.491-2.0891</f>
        <v>18.401899999999998</v>
      </c>
      <c r="CB116" s="48">
        <v>18.172500000000003</v>
      </c>
      <c r="CC116" s="51">
        <v>18.559899999999999</v>
      </c>
      <c r="CD116" s="45">
        <v>17.702400000000001</v>
      </c>
      <c r="CE116" s="45">
        <v>17.7316</v>
      </c>
      <c r="CF116" s="45">
        <f>20.9634-2.1536</f>
        <v>18.809799999999999</v>
      </c>
      <c r="CG116" s="45">
        <f>21.1919-2.1864</f>
        <v>19.005500000000001</v>
      </c>
      <c r="CH116" s="45">
        <f>21.4616-0.0268-2.214</f>
        <v>19.220800000000001</v>
      </c>
      <c r="CI116" s="49">
        <f>21.417-2.2145</f>
        <v>19.202500000000001</v>
      </c>
      <c r="CJ116" s="49">
        <v>21.409600000000001</v>
      </c>
      <c r="CK116" s="45">
        <v>12.4732</v>
      </c>
      <c r="CL116" s="45">
        <v>12.578799999999999</v>
      </c>
      <c r="CM116" s="50">
        <v>12.602399999999999</v>
      </c>
      <c r="CN116" s="49">
        <v>12.564500000000001</v>
      </c>
      <c r="CO116" s="45">
        <v>12.5634</v>
      </c>
      <c r="CP116" s="45">
        <v>12.604200000000001</v>
      </c>
      <c r="CQ116" s="45"/>
      <c r="CR116" s="45"/>
      <c r="CS116" s="45"/>
      <c r="CT116" s="45"/>
      <c r="CU116" s="45"/>
      <c r="CV116" s="45"/>
      <c r="CW116" s="45"/>
      <c r="CX116" s="45"/>
      <c r="CY116" s="45"/>
    </row>
    <row r="117" spans="1:103" ht="45" customHeight="1">
      <c r="A117" s="39">
        <v>24</v>
      </c>
      <c r="B117" s="40" t="s">
        <v>346</v>
      </c>
      <c r="C117" s="41" t="s">
        <v>347</v>
      </c>
      <c r="D117" s="41" t="s">
        <v>134</v>
      </c>
      <c r="E117" s="41" t="s">
        <v>157</v>
      </c>
      <c r="F117" s="41" t="s">
        <v>109</v>
      </c>
      <c r="G117" s="42" t="s">
        <v>110</v>
      </c>
      <c r="H117" s="35"/>
      <c r="I117" s="36"/>
      <c r="J117" s="36"/>
      <c r="K117" s="36"/>
      <c r="L117" s="36"/>
      <c r="M117" s="36"/>
      <c r="N117" s="36"/>
      <c r="O117" s="36"/>
      <c r="P117" s="36"/>
      <c r="Q117" s="36"/>
      <c r="R117" s="36"/>
      <c r="S117" s="37"/>
      <c r="T117" s="35"/>
      <c r="U117" s="36"/>
      <c r="V117" s="36"/>
      <c r="W117" s="36"/>
      <c r="X117" s="36"/>
      <c r="Y117" s="36"/>
      <c r="Z117" s="36"/>
      <c r="AA117" s="36"/>
      <c r="AB117" s="36"/>
      <c r="AC117" s="36"/>
      <c r="AD117" s="36"/>
      <c r="AE117" s="37"/>
      <c r="AF117" s="35"/>
      <c r="AG117" s="36"/>
      <c r="AH117" s="36"/>
      <c r="AI117" s="36"/>
      <c r="AJ117" s="36"/>
      <c r="AK117" s="36"/>
      <c r="AL117" s="36"/>
      <c r="AM117" s="36"/>
      <c r="AN117" s="36"/>
      <c r="AO117" s="36"/>
      <c r="AP117" s="36"/>
      <c r="AQ117" s="37"/>
      <c r="AR117" s="35"/>
      <c r="AS117" s="36"/>
      <c r="AT117" s="36"/>
      <c r="AU117" s="36"/>
      <c r="AV117" s="36"/>
      <c r="AW117" s="36"/>
      <c r="AX117" s="36"/>
      <c r="AY117" s="36"/>
      <c r="AZ117" s="36"/>
      <c r="BA117" s="36"/>
      <c r="BB117" s="36"/>
      <c r="BC117" s="37"/>
      <c r="BD117" s="35">
        <v>9.1334999999999997</v>
      </c>
      <c r="BE117" s="36">
        <v>9.3609000000000009</v>
      </c>
      <c r="BF117" s="36">
        <v>9.6199999999999992</v>
      </c>
      <c r="BG117" s="36">
        <v>11.387700000000001</v>
      </c>
      <c r="BH117" s="36">
        <v>12.4092</v>
      </c>
      <c r="BI117" s="36">
        <v>13.609</v>
      </c>
      <c r="BJ117" s="36">
        <v>10.9445</v>
      </c>
      <c r="BK117" s="36">
        <v>11.124499999999999</v>
      </c>
      <c r="BL117" s="36">
        <v>12.0822</v>
      </c>
      <c r="BM117" s="36">
        <v>13.3226</v>
      </c>
      <c r="BN117" s="36">
        <v>12.269299999999999</v>
      </c>
      <c r="BO117" s="37">
        <v>9.5507000000000009</v>
      </c>
      <c r="BP117" s="35">
        <v>9.3914000000000009</v>
      </c>
      <c r="BQ117" s="36">
        <v>8.5724</v>
      </c>
      <c r="BR117" s="47">
        <v>8.3436000000000003</v>
      </c>
      <c r="BS117" s="47">
        <v>9.8562697584846397</v>
      </c>
      <c r="BT117" s="47">
        <v>11.696509431837301</v>
      </c>
      <c r="BU117" s="47">
        <f>14.1943-1.3296</f>
        <v>12.864700000000001</v>
      </c>
      <c r="BV117" s="47">
        <f>13.0713-1.1583</f>
        <v>11.913</v>
      </c>
      <c r="BW117" s="47">
        <f>13.2719-1.1283</f>
        <v>12.143600000000001</v>
      </c>
      <c r="BX117" s="47">
        <v>12.62</v>
      </c>
      <c r="BY117" s="47">
        <f>13.9557-1.2819</f>
        <v>12.6738</v>
      </c>
      <c r="BZ117" s="47">
        <v>14.4374</v>
      </c>
      <c r="CA117" s="76">
        <v>12.840299999999999</v>
      </c>
      <c r="CB117" s="85">
        <v>11.2355</v>
      </c>
      <c r="CC117" s="73">
        <v>11.1929</v>
      </c>
      <c r="CD117" s="72">
        <v>11.489100000000001</v>
      </c>
      <c r="CE117" s="72">
        <v>13.3369</v>
      </c>
      <c r="CF117" s="72">
        <v>14.662000000000001</v>
      </c>
      <c r="CG117" s="72">
        <v>17.291699999999999</v>
      </c>
      <c r="CH117" s="47">
        <v>16.743300000000001</v>
      </c>
      <c r="CI117" s="72">
        <v>14.2949</v>
      </c>
      <c r="CJ117" s="72">
        <v>15.390700000000001</v>
      </c>
      <c r="CK117" s="72">
        <v>14.276</v>
      </c>
      <c r="CL117" s="72">
        <v>16.011500000000002</v>
      </c>
      <c r="CM117" s="86">
        <v>14.313499999999999</v>
      </c>
      <c r="CN117" s="72">
        <v>16.101299999999998</v>
      </c>
      <c r="CO117" s="72">
        <v>12.891299999999999</v>
      </c>
      <c r="CP117" s="72">
        <v>13.1159</v>
      </c>
      <c r="CQ117" s="72"/>
      <c r="CR117" s="72"/>
      <c r="CS117" s="72"/>
      <c r="CT117" s="72"/>
      <c r="CU117" s="72"/>
      <c r="CV117" s="72"/>
      <c r="CW117" s="72"/>
      <c r="CX117" s="72"/>
      <c r="CY117" s="72"/>
    </row>
    <row r="118" spans="1:103" ht="45" customHeight="1">
      <c r="A118" s="39">
        <v>48</v>
      </c>
      <c r="B118" s="40" t="s">
        <v>348</v>
      </c>
      <c r="C118" s="41" t="s">
        <v>349</v>
      </c>
      <c r="D118" s="41" t="s">
        <v>134</v>
      </c>
      <c r="E118" s="41" t="s">
        <v>157</v>
      </c>
      <c r="F118" s="41" t="s">
        <v>109</v>
      </c>
      <c r="G118" s="42" t="s">
        <v>110</v>
      </c>
      <c r="H118" s="35"/>
      <c r="I118" s="36"/>
      <c r="J118" s="36"/>
      <c r="K118" s="36"/>
      <c r="L118" s="36"/>
      <c r="M118" s="36"/>
      <c r="N118" s="36"/>
      <c r="O118" s="36"/>
      <c r="P118" s="36"/>
      <c r="Q118" s="36"/>
      <c r="R118" s="36"/>
      <c r="S118" s="37"/>
      <c r="T118" s="35"/>
      <c r="U118" s="36"/>
      <c r="V118" s="36"/>
      <c r="W118" s="36"/>
      <c r="X118" s="36"/>
      <c r="Y118" s="36"/>
      <c r="Z118" s="36"/>
      <c r="AA118" s="36"/>
      <c r="AB118" s="36"/>
      <c r="AC118" s="36"/>
      <c r="AD118" s="36"/>
      <c r="AE118" s="37"/>
      <c r="AF118" s="35"/>
      <c r="AG118" s="36"/>
      <c r="AH118" s="36"/>
      <c r="AI118" s="36"/>
      <c r="AJ118" s="36"/>
      <c r="AK118" s="36">
        <v>9.3384</v>
      </c>
      <c r="AL118" s="36">
        <v>9.3213000000000008</v>
      </c>
      <c r="AM118" s="36">
        <v>9.3670000000000009</v>
      </c>
      <c r="AN118" s="36">
        <v>9.3819999999999997</v>
      </c>
      <c r="AO118" s="36">
        <v>9.3957999999999995</v>
      </c>
      <c r="AP118" s="36">
        <v>9.2763000000000009</v>
      </c>
      <c r="AQ118" s="37">
        <v>9.3018999999999998</v>
      </c>
      <c r="AR118" s="35">
        <v>9.2957000000000001</v>
      </c>
      <c r="AS118" s="36">
        <v>9.2627000000000006</v>
      </c>
      <c r="AT118" s="36">
        <v>9.1511999999999993</v>
      </c>
      <c r="AU118" s="36">
        <v>9.2333999999999996</v>
      </c>
      <c r="AV118" s="36">
        <v>9.2165999999999997</v>
      </c>
      <c r="AW118" s="36">
        <v>9.0975000000000001</v>
      </c>
      <c r="AX118" s="36">
        <v>9.1335999999999995</v>
      </c>
      <c r="AY118" s="36">
        <v>9.1228999999999996</v>
      </c>
      <c r="AZ118" s="36">
        <v>9.0965000000000007</v>
      </c>
      <c r="BA118" s="36">
        <v>9.1103000000000005</v>
      </c>
      <c r="BB118" s="36">
        <v>9.0808999999999997</v>
      </c>
      <c r="BC118" s="37">
        <v>9.0949000000000009</v>
      </c>
      <c r="BD118" s="35">
        <v>9.0739999999999998</v>
      </c>
      <c r="BE118" s="36">
        <v>9.1336999999999993</v>
      </c>
      <c r="BF118" s="36">
        <v>9.7091999999999992</v>
      </c>
      <c r="BG118" s="36">
        <v>10.1381</v>
      </c>
      <c r="BH118" s="36">
        <v>10.0947</v>
      </c>
      <c r="BI118" s="36">
        <v>9.7611000000000008</v>
      </c>
      <c r="BJ118" s="36">
        <v>10.182600000000001</v>
      </c>
      <c r="BK118" s="36">
        <v>10.1762</v>
      </c>
      <c r="BL118" s="36">
        <v>10.2173</v>
      </c>
      <c r="BM118" s="36">
        <v>10.1556</v>
      </c>
      <c r="BN118" s="36">
        <v>10.167400000000001</v>
      </c>
      <c r="BO118" s="37">
        <v>10.127700000000001</v>
      </c>
      <c r="BP118" s="35">
        <v>10.1959</v>
      </c>
      <c r="BQ118" s="36">
        <v>10.910399999999999</v>
      </c>
      <c r="BR118" s="47">
        <v>9.9553999999999991</v>
      </c>
      <c r="BS118" s="36">
        <v>11.0182</v>
      </c>
      <c r="BT118" s="36">
        <v>11.1492</v>
      </c>
      <c r="BU118" s="36">
        <v>11.1197</v>
      </c>
      <c r="BV118" s="36">
        <v>11.0543</v>
      </c>
      <c r="BW118" s="36">
        <v>11.076499999999999</v>
      </c>
      <c r="BX118" s="36">
        <v>11.0992</v>
      </c>
      <c r="BY118" s="36">
        <v>11.137600000000001</v>
      </c>
      <c r="BZ118" s="36">
        <v>13.6769</v>
      </c>
      <c r="CA118" s="38">
        <v>14.710599999999999</v>
      </c>
      <c r="CB118" s="48">
        <v>14.802099999999999</v>
      </c>
      <c r="CC118" s="51">
        <v>14.956899999999999</v>
      </c>
      <c r="CD118" s="44">
        <v>15.5778</v>
      </c>
      <c r="CE118" s="45">
        <v>15.2376</v>
      </c>
      <c r="CF118" s="45">
        <v>16.350100000000001</v>
      </c>
      <c r="CG118" s="36">
        <v>16.804500000000001</v>
      </c>
      <c r="CH118" s="49">
        <v>16.454799999999999</v>
      </c>
      <c r="CI118" s="49">
        <v>16.0107</v>
      </c>
      <c r="CJ118" s="36">
        <v>16.148199999999999</v>
      </c>
      <c r="CK118" s="36">
        <v>15.6693</v>
      </c>
      <c r="CL118" s="51">
        <v>15.3658</v>
      </c>
      <c r="CM118" s="55">
        <v>13.780900000000001</v>
      </c>
      <c r="CN118" s="51">
        <v>16.101299999999998</v>
      </c>
      <c r="CO118" s="51">
        <v>15.6303</v>
      </c>
      <c r="CP118" s="51">
        <v>16.851199999999999</v>
      </c>
      <c r="CQ118" s="51"/>
      <c r="CR118" s="51"/>
      <c r="CS118" s="51"/>
      <c r="CT118" s="51"/>
      <c r="CU118" s="51"/>
      <c r="CV118" s="51"/>
      <c r="CW118" s="51"/>
      <c r="CX118" s="51"/>
      <c r="CY118" s="51"/>
    </row>
    <row r="119" spans="1:103" ht="45" customHeight="1">
      <c r="A119" s="39">
        <v>133</v>
      </c>
      <c r="B119" s="40" t="s">
        <v>350</v>
      </c>
      <c r="C119" s="41" t="s">
        <v>351</v>
      </c>
      <c r="D119" s="41" t="s">
        <v>107</v>
      </c>
      <c r="E119" s="41" t="s">
        <v>113</v>
      </c>
      <c r="F119" s="41" t="s">
        <v>109</v>
      </c>
      <c r="G119" s="42" t="s">
        <v>114</v>
      </c>
      <c r="H119" s="35"/>
      <c r="I119" s="36"/>
      <c r="J119" s="36"/>
      <c r="K119" s="36"/>
      <c r="L119" s="36"/>
      <c r="M119" s="36"/>
      <c r="N119" s="36"/>
      <c r="O119" s="36"/>
      <c r="P119" s="36"/>
      <c r="Q119" s="36"/>
      <c r="R119" s="36"/>
      <c r="S119" s="37"/>
      <c r="T119" s="35"/>
      <c r="U119" s="36"/>
      <c r="V119" s="36"/>
      <c r="W119" s="36"/>
      <c r="X119" s="36"/>
      <c r="Y119" s="36"/>
      <c r="Z119" s="36"/>
      <c r="AA119" s="36"/>
      <c r="AB119" s="36"/>
      <c r="AC119" s="36"/>
      <c r="AD119" s="36"/>
      <c r="AE119" s="37"/>
      <c r="AF119" s="35"/>
      <c r="AG119" s="36"/>
      <c r="AH119" s="36"/>
      <c r="AI119" s="36"/>
      <c r="AJ119" s="36"/>
      <c r="AK119" s="36"/>
      <c r="AL119" s="36"/>
      <c r="AM119" s="36"/>
      <c r="AN119" s="36"/>
      <c r="AO119" s="36"/>
      <c r="AP119" s="36"/>
      <c r="AQ119" s="37"/>
      <c r="AR119" s="35"/>
      <c r="AS119" s="36"/>
      <c r="AT119" s="36"/>
      <c r="AU119" s="36"/>
      <c r="AV119" s="36"/>
      <c r="AW119" s="36"/>
      <c r="AX119" s="36"/>
      <c r="AY119" s="36"/>
      <c r="AZ119" s="36"/>
      <c r="BA119" s="36"/>
      <c r="BB119" s="36"/>
      <c r="BC119" s="37"/>
      <c r="BD119" s="35"/>
      <c r="BE119" s="36"/>
      <c r="BF119" s="36"/>
      <c r="BG119" s="36"/>
      <c r="BH119" s="36"/>
      <c r="BI119" s="36"/>
      <c r="BJ119" s="36"/>
      <c r="BK119" s="36"/>
      <c r="BL119" s="36"/>
      <c r="BM119" s="36"/>
      <c r="BN119" s="36"/>
      <c r="BO119" s="37"/>
      <c r="BP119" s="35"/>
      <c r="BQ119" s="36"/>
      <c r="BR119" s="36"/>
      <c r="BS119" s="36"/>
      <c r="BT119" s="36"/>
      <c r="BU119" s="36"/>
      <c r="BV119" s="36"/>
      <c r="BW119" s="36"/>
      <c r="BX119" s="36"/>
      <c r="BY119" s="36"/>
      <c r="BZ119" s="36"/>
      <c r="CA119" s="38"/>
      <c r="CB119" s="35"/>
      <c r="CC119" s="36"/>
      <c r="CD119" s="36"/>
      <c r="CE119" s="36"/>
      <c r="CF119" s="36"/>
      <c r="CG119" s="36"/>
      <c r="CH119" s="36"/>
      <c r="CI119" s="36"/>
      <c r="CJ119" s="36"/>
      <c r="CK119" s="36"/>
      <c r="CL119" s="36"/>
      <c r="CM119" s="38"/>
      <c r="CN119" s="36"/>
      <c r="CO119" s="36"/>
      <c r="CP119" s="36"/>
      <c r="CQ119" s="36"/>
      <c r="CR119" s="36"/>
      <c r="CS119" s="36"/>
      <c r="CT119" s="36"/>
      <c r="CU119" s="36"/>
      <c r="CV119" s="36"/>
      <c r="CW119" s="36"/>
      <c r="CX119" s="36"/>
      <c r="CY119" s="36"/>
    </row>
    <row r="120" spans="1:103" ht="45" customHeight="1">
      <c r="A120" s="39">
        <v>16</v>
      </c>
      <c r="B120" s="40" t="s">
        <v>352</v>
      </c>
      <c r="C120" s="41" t="s">
        <v>353</v>
      </c>
      <c r="D120" s="41" t="s">
        <v>107</v>
      </c>
      <c r="E120" s="41" t="s">
        <v>203</v>
      </c>
      <c r="F120" s="41" t="s">
        <v>109</v>
      </c>
      <c r="G120" s="42" t="s">
        <v>110</v>
      </c>
      <c r="H120" s="35"/>
      <c r="I120" s="36"/>
      <c r="J120" s="36"/>
      <c r="K120" s="36"/>
      <c r="L120" s="36"/>
      <c r="M120" s="36"/>
      <c r="N120" s="36"/>
      <c r="O120" s="36"/>
      <c r="P120" s="36"/>
      <c r="Q120" s="36"/>
      <c r="R120" s="36"/>
      <c r="S120" s="37"/>
      <c r="T120" s="35"/>
      <c r="U120" s="36"/>
      <c r="V120" s="36"/>
      <c r="W120" s="36"/>
      <c r="X120" s="36"/>
      <c r="Y120" s="36"/>
      <c r="Z120" s="36"/>
      <c r="AA120" s="36"/>
      <c r="AB120" s="36"/>
      <c r="AC120" s="36"/>
      <c r="AD120" s="36"/>
      <c r="AE120" s="37"/>
      <c r="AF120" s="35"/>
      <c r="AG120" s="36"/>
      <c r="AH120" s="36"/>
      <c r="AI120" s="36"/>
      <c r="AJ120" s="36"/>
      <c r="AK120" s="36"/>
      <c r="AL120" s="36"/>
      <c r="AM120" s="36"/>
      <c r="AN120" s="36"/>
      <c r="AO120" s="36"/>
      <c r="AP120" s="36"/>
      <c r="AQ120" s="37"/>
      <c r="AR120" s="35"/>
      <c r="AS120" s="36"/>
      <c r="AT120" s="36"/>
      <c r="AU120" s="36"/>
      <c r="AV120" s="36"/>
      <c r="AW120" s="36"/>
      <c r="AX120" s="36"/>
      <c r="AY120" s="36"/>
      <c r="AZ120" s="36"/>
      <c r="BA120" s="36"/>
      <c r="BB120" s="36"/>
      <c r="BC120" s="37"/>
      <c r="BD120" s="35">
        <v>11.5334</v>
      </c>
      <c r="BE120" s="36">
        <v>12.090199999999999</v>
      </c>
      <c r="BF120" s="36">
        <v>11.994999999999999</v>
      </c>
      <c r="BG120" s="36">
        <v>12.0806</v>
      </c>
      <c r="BH120" s="36">
        <v>14.2834</v>
      </c>
      <c r="BI120" s="36">
        <v>14.458299999999999</v>
      </c>
      <c r="BJ120" s="36">
        <v>14.695499999999999</v>
      </c>
      <c r="BK120" s="36">
        <v>17.8566</v>
      </c>
      <c r="BL120" s="36">
        <v>17.831099999999999</v>
      </c>
      <c r="BM120" s="36">
        <v>17.8447</v>
      </c>
      <c r="BN120" s="36">
        <v>18.7241</v>
      </c>
      <c r="BO120" s="37">
        <v>14.244899999999999</v>
      </c>
      <c r="BP120" s="35">
        <v>19.636600000000001</v>
      </c>
      <c r="BQ120" s="36">
        <v>16.654800000000002</v>
      </c>
      <c r="BR120" s="47">
        <v>15.836600000000001</v>
      </c>
      <c r="BS120" s="47">
        <v>15.577299999999999</v>
      </c>
      <c r="BT120" s="47">
        <v>13.906000000000001</v>
      </c>
      <c r="BU120" s="47">
        <v>13.8203</v>
      </c>
      <c r="BV120" s="47">
        <v>10.9063</v>
      </c>
      <c r="BW120" s="47">
        <v>11.13</v>
      </c>
      <c r="BX120" s="47">
        <v>5.6589999999999998</v>
      </c>
      <c r="BY120" s="47">
        <v>9.9090000000000007</v>
      </c>
      <c r="BZ120" s="47">
        <v>10.7608</v>
      </c>
      <c r="CA120" s="76">
        <v>8.032</v>
      </c>
      <c r="CB120" s="87">
        <v>5.6749000000000001</v>
      </c>
      <c r="CC120" s="78">
        <v>8.3224</v>
      </c>
      <c r="CD120" s="78">
        <v>8.5573999999999995</v>
      </c>
      <c r="CE120" s="72">
        <v>9.9549000000000003</v>
      </c>
      <c r="CF120" s="78">
        <v>10.5488</v>
      </c>
      <c r="CG120" s="88">
        <v>12.6166</v>
      </c>
      <c r="CH120" s="88">
        <v>6.0021000000000004</v>
      </c>
      <c r="CI120" s="88">
        <v>12.680300000000001</v>
      </c>
      <c r="CJ120" s="72">
        <v>12.712300000000001</v>
      </c>
      <c r="CK120" s="47">
        <v>9.7859999999999996</v>
      </c>
      <c r="CL120" s="73">
        <v>8.3482000000000003</v>
      </c>
      <c r="CM120" s="89">
        <v>8.4177</v>
      </c>
      <c r="CN120" s="88">
        <v>7.3223000000000003</v>
      </c>
      <c r="CO120" s="73">
        <v>4.6764000000000001</v>
      </c>
      <c r="CP120" s="73">
        <v>7.024</v>
      </c>
      <c r="CQ120" s="73">
        <v>10.635300000000001</v>
      </c>
      <c r="CR120" s="73"/>
      <c r="CS120" s="73"/>
      <c r="CT120" s="73"/>
      <c r="CU120" s="73"/>
      <c r="CV120" s="73"/>
      <c r="CW120" s="73"/>
      <c r="CX120" s="73"/>
      <c r="CY120" s="73"/>
    </row>
    <row r="121" spans="1:103" ht="45" customHeight="1">
      <c r="A121" s="39">
        <v>33</v>
      </c>
      <c r="B121" s="40" t="s">
        <v>354</v>
      </c>
      <c r="C121" s="41" t="s">
        <v>355</v>
      </c>
      <c r="D121" s="41" t="s">
        <v>107</v>
      </c>
      <c r="E121" s="41" t="s">
        <v>203</v>
      </c>
      <c r="F121" s="41" t="s">
        <v>109</v>
      </c>
      <c r="G121" s="42" t="s">
        <v>110</v>
      </c>
      <c r="H121" s="35"/>
      <c r="I121" s="36"/>
      <c r="J121" s="36"/>
      <c r="K121" s="36"/>
      <c r="L121" s="36"/>
      <c r="M121" s="36"/>
      <c r="N121" s="36"/>
      <c r="O121" s="36"/>
      <c r="P121" s="36"/>
      <c r="Q121" s="36"/>
      <c r="R121" s="36"/>
      <c r="S121" s="37"/>
      <c r="T121" s="35"/>
      <c r="U121" s="36"/>
      <c r="V121" s="36"/>
      <c r="W121" s="36"/>
      <c r="X121" s="36"/>
      <c r="Y121" s="36"/>
      <c r="Z121" s="36"/>
      <c r="AA121" s="36"/>
      <c r="AB121" s="36"/>
      <c r="AC121" s="36"/>
      <c r="AD121" s="36"/>
      <c r="AE121" s="37"/>
      <c r="AF121" s="35"/>
      <c r="AG121" s="36"/>
      <c r="AH121" s="36"/>
      <c r="AI121" s="36"/>
      <c r="AJ121" s="36"/>
      <c r="AK121" s="36"/>
      <c r="AL121" s="36"/>
      <c r="AM121" s="36"/>
      <c r="AN121" s="36"/>
      <c r="AO121" s="36"/>
      <c r="AP121" s="36"/>
      <c r="AQ121" s="37"/>
      <c r="AR121" s="35"/>
      <c r="AS121" s="36"/>
      <c r="AT121" s="36"/>
      <c r="AU121" s="36">
        <v>9.3262999999999998</v>
      </c>
      <c r="AV121" s="36">
        <v>9.1186000000000007</v>
      </c>
      <c r="AW121" s="36">
        <v>10.701599999999999</v>
      </c>
      <c r="AX121" s="36">
        <v>10.6838</v>
      </c>
      <c r="AY121" s="36">
        <v>10.594799999999999</v>
      </c>
      <c r="AZ121" s="36">
        <v>10.3559</v>
      </c>
      <c r="BA121" s="36">
        <v>10.715299999999999</v>
      </c>
      <c r="BB121" s="36">
        <v>11.7036</v>
      </c>
      <c r="BC121" s="37">
        <v>11.615</v>
      </c>
      <c r="BD121" s="35">
        <v>12.9429</v>
      </c>
      <c r="BE121" s="36">
        <v>13.622299999999999</v>
      </c>
      <c r="BF121" s="36">
        <v>12.8773</v>
      </c>
      <c r="BG121" s="36">
        <v>13.1311</v>
      </c>
      <c r="BH121" s="36">
        <v>13.518000000000001</v>
      </c>
      <c r="BI121" s="36">
        <v>14.994899999999999</v>
      </c>
      <c r="BJ121" s="36">
        <v>16.1755</v>
      </c>
      <c r="BK121" s="36">
        <v>16.167300000000001</v>
      </c>
      <c r="BL121" s="36">
        <v>16.104199999999999</v>
      </c>
      <c r="BM121" s="36">
        <v>17.081299999999999</v>
      </c>
      <c r="BN121" s="36">
        <v>17.191700000000001</v>
      </c>
      <c r="BO121" s="37">
        <v>16.877300000000002</v>
      </c>
      <c r="BP121" s="35">
        <v>15.228</v>
      </c>
      <c r="BQ121" s="36">
        <v>15.849299999999999</v>
      </c>
      <c r="BR121" s="47">
        <v>15.1485</v>
      </c>
      <c r="BS121" s="36">
        <v>11.389799999999999</v>
      </c>
      <c r="BT121" s="36">
        <v>11.3528</v>
      </c>
      <c r="BU121" s="36">
        <f>8.4677+0.3347+1.0601+0.5782+0.6001+0.4326+0.2904+0.0002+0.2216+0.0017+0.0428+0.0426</f>
        <v>12.072700000000001</v>
      </c>
      <c r="BV121" s="36">
        <v>11.0892</v>
      </c>
      <c r="BW121" s="36">
        <v>11.953900000000001</v>
      </c>
      <c r="BX121" s="36">
        <v>12.1303</v>
      </c>
      <c r="BY121" s="36">
        <v>11.420999999999999</v>
      </c>
      <c r="BZ121" s="36">
        <v>11.3558</v>
      </c>
      <c r="CA121" s="38">
        <v>10.574</v>
      </c>
      <c r="CB121" s="63">
        <v>8.0115999999999996</v>
      </c>
      <c r="CC121" s="36">
        <v>10.431699999999999</v>
      </c>
      <c r="CD121" s="44">
        <v>11.312099999999999</v>
      </c>
      <c r="CE121" s="45">
        <v>11.096</v>
      </c>
      <c r="CF121" s="44">
        <v>11.4428</v>
      </c>
      <c r="CG121" s="36">
        <v>11.856400000000001</v>
      </c>
      <c r="CH121" s="36">
        <v>9.8644999999999996</v>
      </c>
      <c r="CI121" s="45">
        <v>11.884600000000001</v>
      </c>
      <c r="CJ121" s="36">
        <v>11.7788</v>
      </c>
      <c r="CK121" s="36">
        <v>10.6739</v>
      </c>
      <c r="CL121" s="36">
        <v>11.103199999999999</v>
      </c>
      <c r="CM121" s="38">
        <v>15.228</v>
      </c>
      <c r="CN121" s="36">
        <v>10.1661</v>
      </c>
      <c r="CO121" s="36">
        <v>10.9392</v>
      </c>
      <c r="CP121" s="36">
        <v>10.7059</v>
      </c>
      <c r="CQ121" s="36"/>
      <c r="CR121" s="36"/>
      <c r="CS121" s="36"/>
      <c r="CT121" s="36"/>
      <c r="CU121" s="36"/>
      <c r="CV121" s="36"/>
      <c r="CW121" s="36"/>
      <c r="CX121" s="36"/>
      <c r="CY121" s="36"/>
    </row>
    <row r="122" spans="1:103" ht="45" customHeight="1">
      <c r="A122" s="39">
        <v>82</v>
      </c>
      <c r="B122" s="40" t="s">
        <v>356</v>
      </c>
      <c r="C122" s="41" t="s">
        <v>357</v>
      </c>
      <c r="D122" s="41" t="s">
        <v>107</v>
      </c>
      <c r="E122" s="41" t="s">
        <v>113</v>
      </c>
      <c r="F122" s="41" t="s">
        <v>109</v>
      </c>
      <c r="G122" s="42" t="s">
        <v>110</v>
      </c>
      <c r="H122" s="35"/>
      <c r="I122" s="36"/>
      <c r="J122" s="36"/>
      <c r="K122" s="36"/>
      <c r="L122" s="36"/>
      <c r="M122" s="36"/>
      <c r="N122" s="36"/>
      <c r="O122" s="36"/>
      <c r="P122" s="36"/>
      <c r="Q122" s="36"/>
      <c r="R122" s="36"/>
      <c r="S122" s="37"/>
      <c r="T122" s="35"/>
      <c r="U122" s="36"/>
      <c r="V122" s="36"/>
      <c r="W122" s="36"/>
      <c r="X122" s="36"/>
      <c r="Y122" s="36"/>
      <c r="Z122" s="36"/>
      <c r="AA122" s="36"/>
      <c r="AB122" s="36"/>
      <c r="AC122" s="36"/>
      <c r="AD122" s="36"/>
      <c r="AE122" s="37"/>
      <c r="AF122" s="35"/>
      <c r="AG122" s="36"/>
      <c r="AH122" s="36"/>
      <c r="AI122" s="36"/>
      <c r="AJ122" s="36"/>
      <c r="AK122" s="36"/>
      <c r="AL122" s="36"/>
      <c r="AM122" s="36"/>
      <c r="AN122" s="36"/>
      <c r="AO122" s="36"/>
      <c r="AP122" s="36"/>
      <c r="AQ122" s="37"/>
      <c r="AR122" s="35"/>
      <c r="AS122" s="36"/>
      <c r="AT122" s="36"/>
      <c r="AU122" s="36"/>
      <c r="AV122" s="36"/>
      <c r="AW122" s="36"/>
      <c r="AX122" s="36"/>
      <c r="AY122" s="36"/>
      <c r="AZ122" s="36"/>
      <c r="BA122" s="36"/>
      <c r="BB122" s="36"/>
      <c r="BC122" s="37"/>
      <c r="BD122" s="35">
        <v>9.0066000000000006</v>
      </c>
      <c r="BE122" s="36">
        <v>8.9821000000000009</v>
      </c>
      <c r="BF122" s="36">
        <v>10.658200000000001</v>
      </c>
      <c r="BG122" s="36">
        <v>10.6334</v>
      </c>
      <c r="BH122" s="36">
        <v>10.71</v>
      </c>
      <c r="BI122" s="36">
        <v>10.8308</v>
      </c>
      <c r="BJ122" s="36">
        <v>10.499000000000001</v>
      </c>
      <c r="BK122" s="36">
        <v>10.217599999999999</v>
      </c>
      <c r="BL122" s="36">
        <v>10.0503</v>
      </c>
      <c r="BM122" s="36">
        <v>10.0441</v>
      </c>
      <c r="BN122" s="36">
        <v>11.524800000000001</v>
      </c>
      <c r="BO122" s="37">
        <v>11.551</v>
      </c>
      <c r="BP122" s="35">
        <v>11.264799999999999</v>
      </c>
      <c r="BQ122" s="36">
        <v>10.149800000000001</v>
      </c>
      <c r="BR122" s="47">
        <v>10.5634</v>
      </c>
      <c r="BS122" s="36">
        <v>10.6023</v>
      </c>
      <c r="BT122" s="36">
        <v>10.6106</v>
      </c>
      <c r="BU122" s="36">
        <v>10.685700000000001</v>
      </c>
      <c r="BV122" s="36">
        <f>11.23-1.076</f>
        <v>10.154</v>
      </c>
      <c r="BW122" s="36">
        <f>10.78-1.076</f>
        <v>9.7039999999999988</v>
      </c>
      <c r="BX122" s="36">
        <v>9.6927000000000003</v>
      </c>
      <c r="BY122" s="36">
        <v>10.26</v>
      </c>
      <c r="BZ122" s="36">
        <v>9.6462000000000003</v>
      </c>
      <c r="CA122" s="38">
        <v>9.1829000000000001</v>
      </c>
      <c r="CB122" s="52">
        <v>9.0864999999999991</v>
      </c>
      <c r="CC122" s="36">
        <v>8.8143000000000011</v>
      </c>
      <c r="CD122" s="45">
        <v>8.49</v>
      </c>
      <c r="CE122" s="57">
        <v>6.3147000000000002</v>
      </c>
      <c r="CF122" s="45">
        <v>9.49</v>
      </c>
      <c r="CG122" s="36">
        <v>8</v>
      </c>
      <c r="CH122" s="36">
        <v>9.15</v>
      </c>
      <c r="CI122" s="36">
        <v>10.79</v>
      </c>
      <c r="CJ122" s="36">
        <v>11.39</v>
      </c>
      <c r="CK122" s="36">
        <v>9.83</v>
      </c>
      <c r="CL122" s="57">
        <v>9.8699999999999992</v>
      </c>
      <c r="CM122" s="56">
        <v>9.82</v>
      </c>
      <c r="CN122" s="36">
        <v>9.06</v>
      </c>
      <c r="CO122" s="57">
        <v>7.05</v>
      </c>
      <c r="CP122" s="57">
        <v>4.8099999999999996</v>
      </c>
      <c r="CQ122" s="57"/>
      <c r="CR122" s="57"/>
      <c r="CS122" s="57"/>
      <c r="CT122" s="57"/>
      <c r="CU122" s="57"/>
      <c r="CV122" s="57"/>
      <c r="CW122" s="57"/>
      <c r="CX122" s="57"/>
      <c r="CY122" s="57"/>
    </row>
    <row r="123" spans="1:103" ht="45" customHeight="1">
      <c r="A123" s="39">
        <v>41</v>
      </c>
      <c r="B123" s="40" t="s">
        <v>358</v>
      </c>
      <c r="C123" s="41" t="s">
        <v>359</v>
      </c>
      <c r="D123" s="41" t="s">
        <v>107</v>
      </c>
      <c r="E123" s="41" t="s">
        <v>113</v>
      </c>
      <c r="F123" s="41" t="s">
        <v>109</v>
      </c>
      <c r="G123" s="42" t="s">
        <v>110</v>
      </c>
      <c r="H123" s="35"/>
      <c r="I123" s="36"/>
      <c r="J123" s="36"/>
      <c r="K123" s="36"/>
      <c r="L123" s="36"/>
      <c r="M123" s="36"/>
      <c r="N123" s="36"/>
      <c r="O123" s="36"/>
      <c r="P123" s="36"/>
      <c r="Q123" s="36"/>
      <c r="R123" s="36"/>
      <c r="S123" s="37"/>
      <c r="T123" s="35"/>
      <c r="U123" s="36"/>
      <c r="V123" s="36"/>
      <c r="W123" s="36"/>
      <c r="X123" s="36"/>
      <c r="Y123" s="36"/>
      <c r="Z123" s="36"/>
      <c r="AA123" s="36"/>
      <c r="AB123" s="36"/>
      <c r="AC123" s="36"/>
      <c r="AD123" s="36"/>
      <c r="AE123" s="37"/>
      <c r="AF123" s="35"/>
      <c r="AG123" s="36"/>
      <c r="AH123" s="36"/>
      <c r="AI123" s="36"/>
      <c r="AJ123" s="36"/>
      <c r="AK123" s="36"/>
      <c r="AL123" s="36"/>
      <c r="AM123" s="36"/>
      <c r="AN123" s="36"/>
      <c r="AO123" s="36"/>
      <c r="AP123" s="36"/>
      <c r="AQ123" s="37"/>
      <c r="AR123" s="35"/>
      <c r="AS123" s="36"/>
      <c r="AT123" s="36"/>
      <c r="AU123" s="36"/>
      <c r="AV123" s="36"/>
      <c r="AW123" s="36"/>
      <c r="AX123" s="36"/>
      <c r="AY123" s="36"/>
      <c r="AZ123" s="36"/>
      <c r="BA123" s="36"/>
      <c r="BB123" s="36"/>
      <c r="BC123" s="37"/>
      <c r="BD123" s="35">
        <v>8.9266000000000005</v>
      </c>
      <c r="BE123" s="36">
        <v>9.0655000000000001</v>
      </c>
      <c r="BF123" s="36">
        <v>8.8272999999999993</v>
      </c>
      <c r="BG123" s="36">
        <v>9.6766000000000005</v>
      </c>
      <c r="BH123" s="36">
        <v>9.9920000000000009</v>
      </c>
      <c r="BI123" s="36">
        <v>11.278700000000001</v>
      </c>
      <c r="BJ123" s="36">
        <v>12.820600000000001</v>
      </c>
      <c r="BK123" s="36">
        <v>13.0139</v>
      </c>
      <c r="BL123" s="36">
        <v>13.9076</v>
      </c>
      <c r="BM123" s="36">
        <v>14.595700000000001</v>
      </c>
      <c r="BN123" s="36">
        <v>14.7165</v>
      </c>
      <c r="BO123" s="37">
        <v>14.6874</v>
      </c>
      <c r="BP123" s="35">
        <v>14.6442</v>
      </c>
      <c r="BQ123" s="36">
        <v>13.096500000000001</v>
      </c>
      <c r="BR123" s="47">
        <v>13.325900000000001</v>
      </c>
      <c r="BS123" s="36">
        <v>13.0756</v>
      </c>
      <c r="BT123" s="36">
        <v>11.813599999999999</v>
      </c>
      <c r="BU123" s="36">
        <v>11.6784</v>
      </c>
      <c r="BV123" s="36">
        <v>10.6244</v>
      </c>
      <c r="BW123" s="36">
        <v>10.3598</v>
      </c>
      <c r="BX123" s="36">
        <v>9.9986999999999995</v>
      </c>
      <c r="BY123" s="36">
        <v>6.8893000000000004</v>
      </c>
      <c r="BZ123" s="36">
        <v>10.542199999999999</v>
      </c>
      <c r="CA123" s="38">
        <v>9.4465000000000003</v>
      </c>
      <c r="CB123" s="52">
        <v>9.5726999999999993</v>
      </c>
      <c r="CC123" s="51">
        <v>9.5082000000000004</v>
      </c>
      <c r="CD123" s="45">
        <v>10.109400000000001</v>
      </c>
      <c r="CE123" s="45">
        <v>9.9192</v>
      </c>
      <c r="CF123" s="45">
        <v>10.4582</v>
      </c>
      <c r="CG123" s="45">
        <v>11.656599999999999</v>
      </c>
      <c r="CH123" s="45">
        <v>9.9914000000000005</v>
      </c>
      <c r="CI123" s="45">
        <v>10.3598</v>
      </c>
      <c r="CJ123" s="36">
        <v>10.446300000000001</v>
      </c>
      <c r="CK123" s="45">
        <v>9.6440000000000001</v>
      </c>
      <c r="CL123" s="45">
        <v>9.7922999999999991</v>
      </c>
      <c r="CM123" s="50">
        <v>9.6753999999999998</v>
      </c>
      <c r="CN123" s="36">
        <v>9.6753999999999998</v>
      </c>
      <c r="CO123" s="45">
        <v>9.2777999999999992</v>
      </c>
      <c r="CP123" s="45">
        <v>10.3454</v>
      </c>
      <c r="CQ123" s="45"/>
      <c r="CR123" s="45"/>
      <c r="CS123" s="45"/>
      <c r="CT123" s="45"/>
      <c r="CU123" s="45"/>
      <c r="CV123" s="45"/>
      <c r="CW123" s="45"/>
      <c r="CX123" s="45"/>
      <c r="CY123" s="45"/>
    </row>
    <row r="124" spans="1:103" ht="45" customHeight="1">
      <c r="A124" s="39">
        <v>8</v>
      </c>
      <c r="B124" s="40" t="s">
        <v>360</v>
      </c>
      <c r="C124" s="41" t="s">
        <v>361</v>
      </c>
      <c r="D124" s="41" t="s">
        <v>107</v>
      </c>
      <c r="E124" s="41" t="s">
        <v>113</v>
      </c>
      <c r="F124" s="41" t="s">
        <v>109</v>
      </c>
      <c r="G124" s="42" t="s">
        <v>110</v>
      </c>
      <c r="H124" s="35">
        <v>9.1199999999999992</v>
      </c>
      <c r="I124" s="36">
        <v>9.7100000000000009</v>
      </c>
      <c r="J124" s="36">
        <v>9.6999999999999993</v>
      </c>
      <c r="K124" s="36">
        <v>9.93</v>
      </c>
      <c r="L124" s="36">
        <v>9.61</v>
      </c>
      <c r="M124" s="36">
        <v>9.6199999999999992</v>
      </c>
      <c r="N124" s="36">
        <v>9.5500000000000007</v>
      </c>
      <c r="O124" s="36">
        <v>10.89</v>
      </c>
      <c r="P124" s="36">
        <v>10.19</v>
      </c>
      <c r="Q124" s="36">
        <v>10.62</v>
      </c>
      <c r="R124" s="36">
        <v>10.18</v>
      </c>
      <c r="S124" s="37">
        <v>10.63</v>
      </c>
      <c r="T124" s="35">
        <v>10.27</v>
      </c>
      <c r="U124" s="36">
        <v>9.76</v>
      </c>
      <c r="V124" s="36">
        <v>9.73</v>
      </c>
      <c r="W124" s="36">
        <v>9.34</v>
      </c>
      <c r="X124" s="36">
        <v>9.08</v>
      </c>
      <c r="Y124" s="36">
        <v>9.34</v>
      </c>
      <c r="Z124" s="36">
        <v>7.62</v>
      </c>
      <c r="AA124" s="36">
        <v>10.39</v>
      </c>
      <c r="AB124" s="36">
        <v>10.4</v>
      </c>
      <c r="AC124" s="36">
        <v>10.26</v>
      </c>
      <c r="AD124" s="36">
        <v>10.33</v>
      </c>
      <c r="AE124" s="37">
        <v>10.65</v>
      </c>
      <c r="AF124" s="35">
        <v>10.28</v>
      </c>
      <c r="AG124" s="36">
        <v>9.36</v>
      </c>
      <c r="AH124" s="36">
        <v>9.27</v>
      </c>
      <c r="AI124" s="36">
        <v>9.3699999999999992</v>
      </c>
      <c r="AJ124" s="36">
        <v>9.07</v>
      </c>
      <c r="AK124" s="36">
        <v>8.89</v>
      </c>
      <c r="AL124" s="36">
        <v>8.85</v>
      </c>
      <c r="AM124" s="36">
        <v>8.6999999999999993</v>
      </c>
      <c r="AN124" s="36">
        <v>8.7200000000000006</v>
      </c>
      <c r="AO124" s="36">
        <v>8.5299999999999994</v>
      </c>
      <c r="AP124" s="36">
        <v>8.67</v>
      </c>
      <c r="AQ124" s="37">
        <v>8.67</v>
      </c>
      <c r="AR124" s="35">
        <v>7.7</v>
      </c>
      <c r="AS124" s="36">
        <v>8.83</v>
      </c>
      <c r="AT124" s="36">
        <v>8.8743999999999996</v>
      </c>
      <c r="AU124" s="36">
        <v>8.9433000000000007</v>
      </c>
      <c r="AV124" s="36">
        <v>8.8026999999999997</v>
      </c>
      <c r="AW124" s="36">
        <v>8.6477000000000004</v>
      </c>
      <c r="AX124" s="36">
        <v>8.5443999999999996</v>
      </c>
      <c r="AY124" s="36">
        <v>8.9170999999999996</v>
      </c>
      <c r="AZ124" s="36">
        <v>8.9802</v>
      </c>
      <c r="BA124" s="36">
        <v>8.8788</v>
      </c>
      <c r="BB124" s="36">
        <v>8.2452000000000005</v>
      </c>
      <c r="BC124" s="37">
        <v>8.6865000000000006</v>
      </c>
      <c r="BD124" s="35">
        <v>9.1943999999999999</v>
      </c>
      <c r="BE124" s="36">
        <v>9.2897999999999996</v>
      </c>
      <c r="BF124" s="36">
        <v>9.4121000000000006</v>
      </c>
      <c r="BG124" s="36">
        <v>9.9610000000000003</v>
      </c>
      <c r="BH124" s="36">
        <v>11.1754</v>
      </c>
      <c r="BI124" s="36">
        <v>11.2433</v>
      </c>
      <c r="BJ124" s="36">
        <v>12.576499999999999</v>
      </c>
      <c r="BK124" s="36">
        <v>15.808999999999999</v>
      </c>
      <c r="BL124" s="36">
        <v>14.597899999999999</v>
      </c>
      <c r="BM124" s="36">
        <v>13.6264</v>
      </c>
      <c r="BN124" s="36">
        <v>13.441700000000001</v>
      </c>
      <c r="BO124" s="37">
        <v>13.2456</v>
      </c>
      <c r="BP124" s="35">
        <v>13.561299999999999</v>
      </c>
      <c r="BQ124" s="36">
        <v>13.5725</v>
      </c>
      <c r="BR124" s="47">
        <v>13.289400000000001</v>
      </c>
      <c r="BS124" s="36">
        <v>11.523099999999999</v>
      </c>
      <c r="BT124" s="36">
        <v>10.434900000000001</v>
      </c>
      <c r="BU124" s="36"/>
      <c r="BV124" s="36"/>
      <c r="BW124" s="36"/>
      <c r="BX124" s="36">
        <v>10.1714</v>
      </c>
      <c r="BY124" s="36">
        <v>10.385</v>
      </c>
      <c r="BZ124" s="36">
        <v>10.3971</v>
      </c>
      <c r="CA124" s="38">
        <v>10.549099999999999</v>
      </c>
      <c r="CB124" s="48">
        <v>10.379</v>
      </c>
      <c r="CC124" s="51">
        <v>10.974299999999999</v>
      </c>
      <c r="CD124" s="45">
        <v>11.401899999999999</v>
      </c>
      <c r="CE124" s="45">
        <v>10.4975</v>
      </c>
      <c r="CF124" s="44">
        <v>10.635999999999999</v>
      </c>
      <c r="CG124" s="45">
        <v>10.999599999999999</v>
      </c>
      <c r="CH124" s="45">
        <v>10.972099999999999</v>
      </c>
      <c r="CI124" s="45">
        <v>10.9953</v>
      </c>
      <c r="CJ124" s="45">
        <v>11.168900000000001</v>
      </c>
      <c r="CK124" s="45">
        <v>11.404199999999999</v>
      </c>
      <c r="CL124" s="45">
        <v>11.835800000000001</v>
      </c>
      <c r="CM124" s="50">
        <v>11.8142</v>
      </c>
      <c r="CN124" s="36">
        <v>11.8338</v>
      </c>
      <c r="CO124" s="45">
        <v>11.5307</v>
      </c>
      <c r="CP124" s="45">
        <v>11.4886</v>
      </c>
      <c r="CQ124" s="45"/>
      <c r="CR124" s="45"/>
      <c r="CS124" s="45"/>
      <c r="CT124" s="45"/>
      <c r="CU124" s="45"/>
      <c r="CV124" s="45"/>
      <c r="CW124" s="45"/>
      <c r="CX124" s="45"/>
      <c r="CY124" s="45"/>
    </row>
    <row r="125" spans="1:103" s="90" customFormat="1" ht="45" customHeight="1">
      <c r="A125" s="39">
        <v>87</v>
      </c>
      <c r="B125" s="40" t="s">
        <v>362</v>
      </c>
      <c r="C125" s="41" t="s">
        <v>363</v>
      </c>
      <c r="D125" s="41" t="s">
        <v>107</v>
      </c>
      <c r="E125" s="41" t="s">
        <v>113</v>
      </c>
      <c r="F125" s="41" t="s">
        <v>109</v>
      </c>
      <c r="G125" s="42" t="s">
        <v>110</v>
      </c>
      <c r="H125" s="35">
        <v>8.4920000000000009</v>
      </c>
      <c r="I125" s="36">
        <v>9.1800999999999995</v>
      </c>
      <c r="J125" s="36">
        <v>9.7032000000000007</v>
      </c>
      <c r="K125" s="36">
        <v>10.3774</v>
      </c>
      <c r="L125" s="36">
        <v>8.9641000000000002</v>
      </c>
      <c r="M125" s="36">
        <v>9.0944000000000003</v>
      </c>
      <c r="N125" s="36">
        <v>9.5007000000000001</v>
      </c>
      <c r="O125" s="36">
        <v>9.5368999999999993</v>
      </c>
      <c r="P125" s="36">
        <v>9.7431000000000001</v>
      </c>
      <c r="Q125" s="36">
        <v>9.8800000000000008</v>
      </c>
      <c r="R125" s="36">
        <v>9.4913000000000007</v>
      </c>
      <c r="S125" s="37">
        <v>9.4419000000000004</v>
      </c>
      <c r="T125" s="35">
        <v>9.6285000000000007</v>
      </c>
      <c r="U125" s="36">
        <v>10.325100000000001</v>
      </c>
      <c r="V125" s="36">
        <v>9.7385000000000002</v>
      </c>
      <c r="W125" s="36">
        <v>10.085599999999999</v>
      </c>
      <c r="X125" s="36">
        <v>10.6906</v>
      </c>
      <c r="Y125" s="36">
        <v>10.567399999999999</v>
      </c>
      <c r="Z125" s="36">
        <v>10.961399999999999</v>
      </c>
      <c r="AA125" s="36">
        <v>9.5930999999999997</v>
      </c>
      <c r="AB125" s="36">
        <v>9.4316999999999993</v>
      </c>
      <c r="AC125" s="36">
        <v>9.1979000000000006</v>
      </c>
      <c r="AD125" s="36">
        <v>9.0550999999999995</v>
      </c>
      <c r="AE125" s="37">
        <v>9.1671999999999993</v>
      </c>
      <c r="AF125" s="35">
        <v>9.7540999999999993</v>
      </c>
      <c r="AG125" s="36">
        <v>8.9223999999999997</v>
      </c>
      <c r="AH125" s="36">
        <v>8.8705999999999996</v>
      </c>
      <c r="AI125" s="36">
        <v>7.5415000000000001</v>
      </c>
      <c r="AJ125" s="36">
        <v>8.5809999999999995</v>
      </c>
      <c r="AK125" s="36">
        <v>8.3734000000000002</v>
      </c>
      <c r="AL125" s="36">
        <v>8.3313000000000006</v>
      </c>
      <c r="AM125" s="36">
        <v>7.6261000000000001</v>
      </c>
      <c r="AN125" s="36">
        <v>7.4288999999999996</v>
      </c>
      <c r="AO125" s="36">
        <v>7.7836999999999996</v>
      </c>
      <c r="AP125" s="36">
        <v>7.4428000000000001</v>
      </c>
      <c r="AQ125" s="37">
        <v>7.2423999999999999</v>
      </c>
      <c r="AR125" s="35">
        <v>7.2107000000000001</v>
      </c>
      <c r="AS125" s="36">
        <v>7.7435</v>
      </c>
      <c r="AT125" s="36">
        <v>7.7609000000000004</v>
      </c>
      <c r="AU125" s="36">
        <v>8.3777000000000008</v>
      </c>
      <c r="AV125" s="36">
        <v>8.3402999999999992</v>
      </c>
      <c r="AW125" s="36">
        <v>10.0786</v>
      </c>
      <c r="AX125" s="36">
        <v>9.7596000000000007</v>
      </c>
      <c r="AY125" s="36">
        <v>10.1203</v>
      </c>
      <c r="AZ125" s="36">
        <v>9.3580000000000005</v>
      </c>
      <c r="BA125" s="36">
        <v>9.4070999999999998</v>
      </c>
      <c r="BB125" s="36">
        <v>10.5235</v>
      </c>
      <c r="BC125" s="37">
        <v>9.9875000000000007</v>
      </c>
      <c r="BD125" s="35">
        <v>11.3437</v>
      </c>
      <c r="BE125" s="36">
        <v>12.554</v>
      </c>
      <c r="BF125" s="36">
        <v>11.434900000000001</v>
      </c>
      <c r="BG125" s="36">
        <v>11.679399999999999</v>
      </c>
      <c r="BH125" s="36">
        <v>12.260999999999999</v>
      </c>
      <c r="BI125" s="36">
        <v>13.304600000000001</v>
      </c>
      <c r="BJ125" s="36">
        <v>14.286</v>
      </c>
      <c r="BK125" s="36">
        <v>14.839</v>
      </c>
      <c r="BL125" s="36">
        <v>14.924300000000001</v>
      </c>
      <c r="BM125" s="36">
        <v>16.089200000000002</v>
      </c>
      <c r="BN125" s="36">
        <v>15.715199999999999</v>
      </c>
      <c r="BO125" s="37">
        <v>15.583500000000001</v>
      </c>
      <c r="BP125" s="35">
        <v>14.563800000000001</v>
      </c>
      <c r="BQ125" s="36">
        <v>15.5144</v>
      </c>
      <c r="BR125" s="47">
        <v>14.4312</v>
      </c>
      <c r="BS125" s="36">
        <v>14.7407</v>
      </c>
      <c r="BT125" s="36">
        <v>12.2437</v>
      </c>
      <c r="BU125" s="36">
        <v>11.521800000000001</v>
      </c>
      <c r="BV125" s="36">
        <v>11.0077</v>
      </c>
      <c r="BW125" s="36">
        <v>10.466100000000001</v>
      </c>
      <c r="BX125" s="36">
        <v>11.009</v>
      </c>
      <c r="BY125" s="36">
        <v>10.204499999999999</v>
      </c>
      <c r="BZ125" s="36">
        <v>9.1796000000000006</v>
      </c>
      <c r="CA125" s="38">
        <v>9.7306000000000008</v>
      </c>
      <c r="CB125" s="48">
        <v>9.8414999999999999</v>
      </c>
      <c r="CC125" s="51">
        <v>10.033799999999999</v>
      </c>
      <c r="CD125" s="45">
        <v>10.887600000000001</v>
      </c>
      <c r="CE125" s="45">
        <v>10.1904</v>
      </c>
      <c r="CF125" s="45">
        <v>8.4791000000000007</v>
      </c>
      <c r="CG125" s="36">
        <v>8.7062000000000008</v>
      </c>
      <c r="CH125" s="36">
        <v>8.3676999999999992</v>
      </c>
      <c r="CI125" s="45">
        <v>9.5145</v>
      </c>
      <c r="CJ125" s="36">
        <v>9.7140000000000004</v>
      </c>
      <c r="CK125" s="45">
        <v>9.8674999999999997</v>
      </c>
      <c r="CL125" s="45">
        <v>10.091900000000001</v>
      </c>
      <c r="CM125" s="50">
        <v>10</v>
      </c>
      <c r="CN125" s="36">
        <v>9.7729999999999997</v>
      </c>
      <c r="CO125" s="45">
        <v>9.9963999999999995</v>
      </c>
      <c r="CP125" s="45">
        <v>9.1082999999999998</v>
      </c>
      <c r="CQ125" s="45"/>
      <c r="CR125" s="45"/>
      <c r="CS125" s="45"/>
      <c r="CT125" s="45"/>
      <c r="CU125" s="45"/>
      <c r="CV125" s="45"/>
      <c r="CW125" s="45"/>
      <c r="CX125" s="45"/>
      <c r="CY125" s="45"/>
    </row>
    <row r="126" spans="1:103" ht="45" customHeight="1">
      <c r="A126" s="39">
        <v>114</v>
      </c>
      <c r="B126" s="40" t="s">
        <v>364</v>
      </c>
      <c r="C126" s="41" t="s">
        <v>365</v>
      </c>
      <c r="D126" s="41" t="s">
        <v>107</v>
      </c>
      <c r="E126" s="41" t="s">
        <v>213</v>
      </c>
      <c r="F126" s="41" t="s">
        <v>125</v>
      </c>
      <c r="G126" s="42" t="s">
        <v>110</v>
      </c>
      <c r="H126" s="35"/>
      <c r="I126" s="36"/>
      <c r="J126" s="36"/>
      <c r="K126" s="36"/>
      <c r="L126" s="36"/>
      <c r="M126" s="36"/>
      <c r="N126" s="36"/>
      <c r="O126" s="36"/>
      <c r="P126" s="36"/>
      <c r="Q126" s="36"/>
      <c r="R126" s="36"/>
      <c r="S126" s="37"/>
      <c r="T126" s="35"/>
      <c r="U126" s="36"/>
      <c r="V126" s="36"/>
      <c r="W126" s="36"/>
      <c r="X126" s="36"/>
      <c r="Y126" s="36"/>
      <c r="Z126" s="36"/>
      <c r="AA126" s="36"/>
      <c r="AB126" s="36"/>
      <c r="AC126" s="36"/>
      <c r="AD126" s="36"/>
      <c r="AE126" s="37"/>
      <c r="AF126" s="35"/>
      <c r="AG126" s="36"/>
      <c r="AH126" s="36"/>
      <c r="AI126" s="36"/>
      <c r="AJ126" s="36"/>
      <c r="AK126" s="36"/>
      <c r="AL126" s="36"/>
      <c r="AM126" s="36"/>
      <c r="AN126" s="36"/>
      <c r="AO126" s="36"/>
      <c r="AP126" s="36"/>
      <c r="AQ126" s="37"/>
      <c r="AR126" s="35"/>
      <c r="AS126" s="36"/>
      <c r="AT126" s="36"/>
      <c r="AU126" s="36"/>
      <c r="AV126" s="36"/>
      <c r="AW126" s="36"/>
      <c r="AX126" s="36"/>
      <c r="AY126" s="36"/>
      <c r="AZ126" s="36"/>
      <c r="BA126" s="36"/>
      <c r="BB126" s="36"/>
      <c r="BC126" s="37"/>
      <c r="BD126" s="35">
        <v>13.1153</v>
      </c>
      <c r="BE126" s="36">
        <v>12.5291</v>
      </c>
      <c r="BF126" s="36">
        <v>13.012600000000001</v>
      </c>
      <c r="BG126" s="36">
        <v>13.411099999999999</v>
      </c>
      <c r="BH126" s="36">
        <v>13.6866</v>
      </c>
      <c r="BI126" s="36">
        <v>14.190200000000001</v>
      </c>
      <c r="BJ126" s="36">
        <v>14.9177</v>
      </c>
      <c r="BK126" s="36">
        <v>16.566700000000001</v>
      </c>
      <c r="BL126" s="36">
        <v>16.276800000000001</v>
      </c>
      <c r="BM126" s="36">
        <v>15.1511</v>
      </c>
      <c r="BN126" s="36">
        <v>14.953900000000001</v>
      </c>
      <c r="BO126" s="37">
        <v>16.4605</v>
      </c>
      <c r="BP126" s="35">
        <v>16.2484</v>
      </c>
      <c r="BQ126" s="36">
        <v>15.8485</v>
      </c>
      <c r="BR126" s="36">
        <v>16.396100000000001</v>
      </c>
      <c r="BS126" s="36">
        <v>15.6092</v>
      </c>
      <c r="BT126" s="36">
        <v>14.026</v>
      </c>
      <c r="BU126" s="36">
        <v>13.7044</v>
      </c>
      <c r="BV126" s="36">
        <v>12.31</v>
      </c>
      <c r="BW126" s="36">
        <v>9.2424999999999997</v>
      </c>
      <c r="BX126" s="36">
        <v>11.936500000000001</v>
      </c>
      <c r="BY126" s="36">
        <v>11.895</v>
      </c>
      <c r="BZ126" s="36">
        <v>11.0525</v>
      </c>
      <c r="CA126" s="38">
        <v>11.369899999999999</v>
      </c>
      <c r="CB126" s="52">
        <v>9.1328999999999994</v>
      </c>
      <c r="CC126" s="51">
        <v>6.2903000000000002</v>
      </c>
      <c r="CD126" s="45">
        <v>8.8567</v>
      </c>
      <c r="CE126" s="51">
        <v>8.8927999999999994</v>
      </c>
      <c r="CF126" s="51">
        <v>8.8927999999999994</v>
      </c>
      <c r="CG126" s="36">
        <v>9.4221000000000004</v>
      </c>
      <c r="CH126" s="36">
        <v>10.551299999999999</v>
      </c>
      <c r="CI126" s="36">
        <v>10.4559</v>
      </c>
      <c r="CJ126" s="36">
        <v>10.1073</v>
      </c>
      <c r="CK126" s="36">
        <v>10.0625</v>
      </c>
      <c r="CL126" s="51">
        <v>10.003500000000001</v>
      </c>
      <c r="CM126" s="55">
        <v>10.1866</v>
      </c>
      <c r="CN126" s="65">
        <v>10.547800000000001</v>
      </c>
      <c r="CO126" s="65">
        <v>9.8093000000000004</v>
      </c>
      <c r="CP126" s="65"/>
      <c r="CQ126" s="65"/>
      <c r="CR126" s="65"/>
      <c r="CS126" s="65"/>
      <c r="CT126" s="65"/>
      <c r="CU126" s="65"/>
      <c r="CV126" s="65"/>
      <c r="CW126" s="65"/>
      <c r="CX126" s="65"/>
      <c r="CY126" s="65"/>
    </row>
    <row r="127" spans="1:103" ht="45" customHeight="1">
      <c r="A127" s="39">
        <v>13</v>
      </c>
      <c r="B127" s="40" t="s">
        <v>366</v>
      </c>
      <c r="C127" s="41" t="s">
        <v>367</v>
      </c>
      <c r="D127" s="41" t="s">
        <v>107</v>
      </c>
      <c r="E127" s="41" t="s">
        <v>113</v>
      </c>
      <c r="F127" s="41" t="s">
        <v>109</v>
      </c>
      <c r="G127" s="42" t="s">
        <v>110</v>
      </c>
      <c r="H127" s="35">
        <v>10.06</v>
      </c>
      <c r="I127" s="36">
        <v>10.79</v>
      </c>
      <c r="J127" s="36">
        <v>10.92</v>
      </c>
      <c r="K127" s="36">
        <v>11.32</v>
      </c>
      <c r="L127" s="36">
        <v>11.05</v>
      </c>
      <c r="M127" s="36">
        <v>11.09</v>
      </c>
      <c r="N127" s="36">
        <v>11.22</v>
      </c>
      <c r="O127" s="36">
        <v>11.05</v>
      </c>
      <c r="P127" s="36">
        <v>10.84</v>
      </c>
      <c r="Q127" s="36">
        <v>10.66</v>
      </c>
      <c r="R127" s="36">
        <v>11.39</v>
      </c>
      <c r="S127" s="37">
        <v>11.23</v>
      </c>
      <c r="T127" s="35">
        <v>11.01</v>
      </c>
      <c r="U127" s="36">
        <v>11.37</v>
      </c>
      <c r="V127" s="36">
        <v>11.95</v>
      </c>
      <c r="W127" s="36">
        <v>11.62</v>
      </c>
      <c r="X127" s="36"/>
      <c r="Y127" s="36"/>
      <c r="Z127" s="36"/>
      <c r="AA127" s="36"/>
      <c r="AB127" s="36"/>
      <c r="AC127" s="36"/>
      <c r="AD127" s="36"/>
      <c r="AE127" s="37"/>
      <c r="AF127" s="35"/>
      <c r="AG127" s="36"/>
      <c r="AH127" s="36"/>
      <c r="AI127" s="36"/>
      <c r="AJ127" s="36"/>
      <c r="AK127" s="36"/>
      <c r="AL127" s="36"/>
      <c r="AM127" s="36"/>
      <c r="AN127" s="36"/>
      <c r="AO127" s="36"/>
      <c r="AP127" s="36"/>
      <c r="AQ127" s="37"/>
      <c r="AR127" s="35"/>
      <c r="AS127" s="36"/>
      <c r="AT127" s="36"/>
      <c r="AU127" s="36"/>
      <c r="AV127" s="36"/>
      <c r="AW127" s="36"/>
      <c r="AX127" s="36"/>
      <c r="AY127" s="36"/>
      <c r="AZ127" s="36"/>
      <c r="BA127" s="36"/>
      <c r="BB127" s="36"/>
      <c r="BC127" s="37"/>
      <c r="BD127" s="35">
        <v>13.0044</v>
      </c>
      <c r="BE127" s="36">
        <v>13.621499999999999</v>
      </c>
      <c r="BF127" s="36">
        <v>12.9267</v>
      </c>
      <c r="BG127" s="36">
        <v>13.420500000000001</v>
      </c>
      <c r="BH127" s="36">
        <v>16.1419</v>
      </c>
      <c r="BI127" s="36">
        <v>17.2758</v>
      </c>
      <c r="BJ127" s="36">
        <v>17.009899999999998</v>
      </c>
      <c r="BK127" s="36">
        <v>18.031199999999998</v>
      </c>
      <c r="BL127" s="36">
        <v>17.527999999999999</v>
      </c>
      <c r="BM127" s="36">
        <v>17.963799999999999</v>
      </c>
      <c r="BN127" s="36">
        <v>19.3935</v>
      </c>
      <c r="BO127" s="37">
        <v>19.394500000000001</v>
      </c>
      <c r="BP127" s="35">
        <v>18.818000000000001</v>
      </c>
      <c r="BQ127" s="36">
        <v>19.192900000000002</v>
      </c>
      <c r="BR127" s="47">
        <v>16.057600000000001</v>
      </c>
      <c r="BS127" s="36">
        <v>14.6503</v>
      </c>
      <c r="BT127" s="36">
        <v>13.4361</v>
      </c>
      <c r="BU127" s="36">
        <f>9.0887+0.1401+0.1067+0.5143+0.5828+0.3669+0.2508+0.0428+0.2216+0.0017+0.0037+0.0004+(1.2321+0.0664+0.1468)</f>
        <v>12.7658</v>
      </c>
      <c r="BV127" s="36">
        <f>9.9073+0.5524+1.1778+0.5143+0.5828+0.3669+0.2508+0.0428+0.2216+0.0017+0.0134+0.0008-0.05</f>
        <v>13.582599999999999</v>
      </c>
      <c r="BW127" s="36">
        <f>8.7242+0.5489+1.085+0.5143+0.5828+0.3669+0.2508+0.0428+0.2216+0.0017+0.0134-0.05+0.0008</f>
        <v>12.3032</v>
      </c>
      <c r="BX127" s="36">
        <f>9.358+0.5667+1.1562+0.5143+0.582873669+0.2508+0.0428+0.2477+0.0017-0.05+0.0006</f>
        <v>12.671673669</v>
      </c>
      <c r="BY127" s="36">
        <f>9.7248+0.5762+1.1908+0.514+0.5828+0.3669+0.2508+0.0428+0.2477+0.0017+0.0124+-0.05+0.0003</f>
        <v>13.461199999999996</v>
      </c>
      <c r="BZ127" s="36">
        <f>9.4812+0.7305+1.1876+0.5143+0.5828+0.3669+0.2508+0.0428+0.2477+0.0017+0.0133-0.05+0.0003</f>
        <v>13.369899999999996</v>
      </c>
      <c r="CA127" s="38">
        <f>8.6542+0.686+1.104+0.5143+0.5828+0.3669+0.2508+0.0428+0.2477+0.0017+0.0125-0.05+0.0003</f>
        <v>12.413999999999996</v>
      </c>
      <c r="CB127" s="52">
        <v>11.978899999999998</v>
      </c>
      <c r="CC127" s="36">
        <v>12.603699999999998</v>
      </c>
      <c r="CD127" s="45">
        <v>13.359599999999999</v>
      </c>
      <c r="CE127" s="51">
        <v>12.0604</v>
      </c>
      <c r="CF127" s="45">
        <v>11.420999999999998</v>
      </c>
      <c r="CG127" s="36">
        <f>8.8034+0.6704+1.2363+0.5143+0.5828+0.3669+0.2508+0.0428+0.2238+0.0017+0.0838-0.05+0.0001</f>
        <v>12.7271</v>
      </c>
      <c r="CH127" s="36">
        <f>8.2572+0.5504+1.1538+0.5143+0.5828+0.3669+0.2508+0.0428+0.2238+0.0017+0.0838-0.05+0.0002</f>
        <v>11.978499999999999</v>
      </c>
      <c r="CI127" s="36">
        <f>7.9912+0.7088+1.1423+0.5143+0.5828+0.3669+0.2508+0.0428+0.1805+0.0017+0.083+0.0002</f>
        <v>11.8653</v>
      </c>
      <c r="CJ127" s="36">
        <f>8.6289+1.0617+1.2549+0.5143+0.5828+0.3669+0.2508+0.0428+0.1805+0.0017+0.0838+0.0002</f>
        <v>12.969299999999999</v>
      </c>
      <c r="CK127" s="36">
        <f>7.8571+0.9938+1.1258+0.5143+0.5828+0.3669+0.2508+0.0428+0.1805+0.0017+0.0838-0.05+0.0002</f>
        <v>11.950499999999998</v>
      </c>
      <c r="CL127" s="51">
        <v>12.94</v>
      </c>
      <c r="CM127" s="55">
        <v>10.67</v>
      </c>
      <c r="CN127" s="54">
        <f>2.4965+1.1707+0.4719+0.5143+0.5828+0.3669+0.2508+0.0428+0.1805+0.0017+0.0838-0.011-0.05-0.0013</f>
        <v>6.1003999999999996</v>
      </c>
      <c r="CO127" s="91">
        <v>7.02</v>
      </c>
      <c r="CP127" s="91">
        <f>-0.737+1.1307+0.0175+0.5143+0.5828+0.3669+0.2508+0.0428+0.1949+0.0044+0.0838-0.0021-0.05-0.0002</f>
        <v>2.3996000000000004</v>
      </c>
      <c r="CQ127" s="91"/>
      <c r="CR127" s="91"/>
      <c r="CS127" s="91"/>
      <c r="CT127" s="91"/>
      <c r="CU127" s="91"/>
      <c r="CV127" s="91"/>
      <c r="CW127" s="91"/>
      <c r="CX127" s="91"/>
      <c r="CY127" s="91"/>
    </row>
    <row r="128" spans="1:103" ht="45" customHeight="1">
      <c r="A128" s="39">
        <v>84</v>
      </c>
      <c r="B128" s="40" t="s">
        <v>368</v>
      </c>
      <c r="C128" s="41" t="s">
        <v>369</v>
      </c>
      <c r="D128" s="41" t="s">
        <v>134</v>
      </c>
      <c r="E128" s="41" t="s">
        <v>135</v>
      </c>
      <c r="F128" s="41" t="s">
        <v>118</v>
      </c>
      <c r="G128" s="42" t="s">
        <v>110</v>
      </c>
      <c r="H128" s="35"/>
      <c r="I128" s="36"/>
      <c r="J128" s="36"/>
      <c r="K128" s="36"/>
      <c r="L128" s="36"/>
      <c r="M128" s="36"/>
      <c r="N128" s="36"/>
      <c r="O128" s="36"/>
      <c r="P128" s="36"/>
      <c r="Q128" s="36"/>
      <c r="R128" s="36"/>
      <c r="S128" s="37"/>
      <c r="T128" s="35"/>
      <c r="U128" s="36"/>
      <c r="V128" s="36"/>
      <c r="W128" s="36"/>
      <c r="X128" s="36"/>
      <c r="Y128" s="36"/>
      <c r="Z128" s="36"/>
      <c r="AA128" s="36"/>
      <c r="AB128" s="36"/>
      <c r="AC128" s="36"/>
      <c r="AD128" s="36"/>
      <c r="AE128" s="37"/>
      <c r="AF128" s="35"/>
      <c r="AG128" s="36"/>
      <c r="AH128" s="36"/>
      <c r="AI128" s="36"/>
      <c r="AJ128" s="36"/>
      <c r="AK128" s="36"/>
      <c r="AL128" s="36"/>
      <c r="AM128" s="36"/>
      <c r="AN128" s="36"/>
      <c r="AO128" s="36"/>
      <c r="AP128" s="36"/>
      <c r="AQ128" s="37"/>
      <c r="AR128" s="35">
        <v>8.1858000000000004</v>
      </c>
      <c r="AS128" s="36">
        <v>9.1578999999999997</v>
      </c>
      <c r="AT128" s="36">
        <v>8.6778999999999993</v>
      </c>
      <c r="AU128" s="36">
        <v>8.6906999999999996</v>
      </c>
      <c r="AV128" s="36">
        <v>8.7665000000000006</v>
      </c>
      <c r="AW128" s="36">
        <v>8.7346000000000004</v>
      </c>
      <c r="AX128" s="36">
        <v>8.75</v>
      </c>
      <c r="AY128" s="36">
        <v>8.7449999999999992</v>
      </c>
      <c r="AZ128" s="36">
        <v>8.7461000000000002</v>
      </c>
      <c r="BA128" s="36">
        <v>8.7318999999999996</v>
      </c>
      <c r="BB128" s="36">
        <v>8.7096</v>
      </c>
      <c r="BC128" s="37">
        <v>8.7431999999999999</v>
      </c>
      <c r="BD128" s="35">
        <v>8.6925000000000008</v>
      </c>
      <c r="BE128" s="36">
        <v>8.6664999999999992</v>
      </c>
      <c r="BF128" s="36">
        <v>9.6945999999999994</v>
      </c>
      <c r="BG128" s="36">
        <v>9.6611999999999991</v>
      </c>
      <c r="BH128" s="36">
        <v>9.6522000000000006</v>
      </c>
      <c r="BI128" s="36">
        <v>9.6537000000000006</v>
      </c>
      <c r="BJ128" s="36">
        <v>9.6585999999999999</v>
      </c>
      <c r="BK128" s="36">
        <v>9.6966999999999999</v>
      </c>
      <c r="BL128" s="36">
        <v>8.8463999999999992</v>
      </c>
      <c r="BM128" s="36">
        <v>9.7167999999999992</v>
      </c>
      <c r="BN128" s="36">
        <v>9.7100000000000009</v>
      </c>
      <c r="BO128" s="37">
        <v>9.7211999999999996</v>
      </c>
      <c r="BP128" s="35">
        <v>9.7242999999999995</v>
      </c>
      <c r="BQ128" s="36">
        <v>9.7370000000000001</v>
      </c>
      <c r="BR128" s="47">
        <v>9.7429000000000006</v>
      </c>
      <c r="BS128" s="36">
        <v>10.5403</v>
      </c>
      <c r="BT128" s="36">
        <v>10.575100000000001</v>
      </c>
      <c r="BU128" s="36">
        <v>10.896000000000001</v>
      </c>
      <c r="BV128" s="36">
        <v>10.9002</v>
      </c>
      <c r="BW128" s="36">
        <v>10.895099999999999</v>
      </c>
      <c r="BX128" s="36">
        <v>10.906700000000001</v>
      </c>
      <c r="BY128" s="36">
        <v>10.933299999999999</v>
      </c>
      <c r="BZ128" s="36">
        <v>10.919600000000001</v>
      </c>
      <c r="CA128" s="38">
        <v>10.934799999999999</v>
      </c>
      <c r="CB128" s="52">
        <v>10.920199999999999</v>
      </c>
      <c r="CC128" s="51">
        <v>10.9207</v>
      </c>
      <c r="CD128" s="45">
        <v>10.882999999999999</v>
      </c>
      <c r="CE128" s="36">
        <v>11.4192</v>
      </c>
      <c r="CF128" s="45">
        <v>11.428599999999999</v>
      </c>
      <c r="CG128" s="36">
        <v>11.433299999999999</v>
      </c>
      <c r="CH128" s="36">
        <v>11.4528</v>
      </c>
      <c r="CI128" s="45">
        <v>12.7529</v>
      </c>
      <c r="CJ128" s="36">
        <v>12.752000000000001</v>
      </c>
      <c r="CK128" s="36">
        <v>12.7699</v>
      </c>
      <c r="CL128" s="36">
        <v>12.7492</v>
      </c>
      <c r="CM128" s="38">
        <v>12.732900000000001</v>
      </c>
      <c r="CN128" s="36">
        <v>12.734500000000001</v>
      </c>
      <c r="CO128" s="36">
        <v>12.7179</v>
      </c>
      <c r="CP128" s="36">
        <v>12.7615</v>
      </c>
      <c r="CQ128" s="36"/>
      <c r="CR128" s="36"/>
      <c r="CS128" s="36"/>
      <c r="CT128" s="36"/>
      <c r="CU128" s="36"/>
      <c r="CV128" s="36"/>
      <c r="CW128" s="36"/>
      <c r="CX128" s="36"/>
      <c r="CY128" s="36"/>
    </row>
    <row r="129" spans="1:103" ht="45" customHeight="1">
      <c r="A129" s="39">
        <v>134</v>
      </c>
      <c r="B129" s="40" t="s">
        <v>370</v>
      </c>
      <c r="C129" s="41" t="s">
        <v>371</v>
      </c>
      <c r="D129" s="41" t="s">
        <v>107</v>
      </c>
      <c r="E129" s="41" t="s">
        <v>144</v>
      </c>
      <c r="F129" s="41" t="s">
        <v>109</v>
      </c>
      <c r="G129" s="42" t="s">
        <v>110</v>
      </c>
      <c r="H129" s="35">
        <v>8.7210999999999999</v>
      </c>
      <c r="I129" s="36">
        <v>8.1641999999999992</v>
      </c>
      <c r="J129" s="36">
        <v>8.7978000000000005</v>
      </c>
      <c r="K129" s="36">
        <v>8.6443999999999992</v>
      </c>
      <c r="L129" s="36">
        <v>8.1387999999999998</v>
      </c>
      <c r="M129" s="36">
        <v>7.9672999999999998</v>
      </c>
      <c r="N129" s="36">
        <v>8.2391000000000005</v>
      </c>
      <c r="O129" s="36">
        <v>8.0389999999999997</v>
      </c>
      <c r="P129" s="36">
        <v>7.7104999999999997</v>
      </c>
      <c r="Q129" s="36">
        <v>8.4075000000000006</v>
      </c>
      <c r="R129" s="36">
        <v>8.1508000000000003</v>
      </c>
      <c r="S129" s="37">
        <v>7.9063999999999997</v>
      </c>
      <c r="T129" s="35">
        <v>8.8079000000000001</v>
      </c>
      <c r="U129" s="36">
        <v>9.0823</v>
      </c>
      <c r="V129" s="36">
        <v>8.9594000000000005</v>
      </c>
      <c r="W129" s="36">
        <v>9.5230999999999995</v>
      </c>
      <c r="X129" s="36">
        <v>9.9772999999999996</v>
      </c>
      <c r="Y129" s="36">
        <v>9.3453999999999997</v>
      </c>
      <c r="Z129" s="36">
        <v>9.6137999999999995</v>
      </c>
      <c r="AA129" s="36">
        <v>8.1837</v>
      </c>
      <c r="AB129" s="36">
        <v>8.0225000000000009</v>
      </c>
      <c r="AC129" s="36">
        <v>7.7209000000000003</v>
      </c>
      <c r="AD129" s="36">
        <v>8.2015999999999991</v>
      </c>
      <c r="AE129" s="37">
        <v>8.1138999999999992</v>
      </c>
      <c r="AF129" s="35">
        <v>8.8069799999999994</v>
      </c>
      <c r="AG129" s="36">
        <v>6.5196399999999999</v>
      </c>
      <c r="AH129" s="36">
        <v>7.4752400000000003</v>
      </c>
      <c r="AI129" s="36">
        <v>7.4752400000000003</v>
      </c>
      <c r="AJ129" s="36">
        <v>6.9528600000000003</v>
      </c>
      <c r="AK129" s="36">
        <v>6.3252499999999996</v>
      </c>
      <c r="AL129" s="36">
        <v>6.7296100000000001</v>
      </c>
      <c r="AM129" s="36">
        <v>6.3083900000000002</v>
      </c>
      <c r="AN129" s="36">
        <v>5.87873</v>
      </c>
      <c r="AO129" s="36">
        <v>7.1886700000000001</v>
      </c>
      <c r="AP129" s="36">
        <v>6.2007099999999999</v>
      </c>
      <c r="AQ129" s="37">
        <v>6.4625599999999999</v>
      </c>
      <c r="AR129" s="35">
        <v>6.5625</v>
      </c>
      <c r="AS129" s="36">
        <v>6.5728999999999997</v>
      </c>
      <c r="AT129" s="36">
        <v>6.9123999999999999</v>
      </c>
      <c r="AU129" s="36">
        <v>7.6718999999999999</v>
      </c>
      <c r="AV129" s="36">
        <v>7.1308999999999996</v>
      </c>
      <c r="AW129" s="36">
        <v>7.8259999999999996</v>
      </c>
      <c r="AX129" s="36">
        <v>8.6045999999999996</v>
      </c>
      <c r="AY129" s="36">
        <v>9.1480999999999995</v>
      </c>
      <c r="AZ129" s="36">
        <v>8.5494000000000003</v>
      </c>
      <c r="BA129" s="36">
        <v>7.4012000000000002</v>
      </c>
      <c r="BB129" s="36">
        <v>9.2049000000000003</v>
      </c>
      <c r="BC129" s="37">
        <v>8.7289999999999992</v>
      </c>
      <c r="BD129" s="35">
        <v>11.3607</v>
      </c>
      <c r="BE129" s="36">
        <v>11.457000000000001</v>
      </c>
      <c r="BF129" s="36">
        <v>11.5862</v>
      </c>
      <c r="BG129" s="36">
        <v>11.3857</v>
      </c>
      <c r="BH129" s="36">
        <v>11.5924</v>
      </c>
      <c r="BI129" s="36">
        <v>12.085000000000001</v>
      </c>
      <c r="BJ129" s="36">
        <v>14.6191</v>
      </c>
      <c r="BK129" s="36">
        <v>14.122400000000001</v>
      </c>
      <c r="BL129" s="36">
        <v>14.638</v>
      </c>
      <c r="BM129" s="36">
        <v>14.092700000000001</v>
      </c>
      <c r="BN129" s="36">
        <v>15.2408</v>
      </c>
      <c r="BO129" s="37">
        <v>12.4429</v>
      </c>
      <c r="BP129" s="35">
        <v>11.220700000000001</v>
      </c>
      <c r="BQ129" s="36">
        <v>10.691599999999999</v>
      </c>
      <c r="BR129" s="36">
        <v>11.6471</v>
      </c>
      <c r="BS129" s="36">
        <v>10.791499999999999</v>
      </c>
      <c r="BT129" s="36">
        <v>10.0214</v>
      </c>
      <c r="BU129" s="36">
        <v>11.9156</v>
      </c>
      <c r="BV129" s="36">
        <v>10.3324</v>
      </c>
      <c r="BW129" s="36">
        <v>9.7192000000000007</v>
      </c>
      <c r="BX129" s="36">
        <v>9.8678000000000008</v>
      </c>
      <c r="BY129" s="36">
        <v>9.4834999999999994</v>
      </c>
      <c r="BZ129" s="36">
        <v>10.774900000000001</v>
      </c>
      <c r="CA129" s="38">
        <v>9.5030000000000001</v>
      </c>
      <c r="CB129" s="52">
        <v>9.6144999999999996</v>
      </c>
      <c r="CC129" s="45">
        <v>9.8392999999999997</v>
      </c>
      <c r="CD129" s="45">
        <v>10.1378</v>
      </c>
      <c r="CE129" s="45">
        <v>10.075900000000001</v>
      </c>
      <c r="CF129" s="36">
        <v>9.9817</v>
      </c>
      <c r="CG129" s="36">
        <v>8.5862999999999996</v>
      </c>
      <c r="CH129" s="36">
        <v>10.7004</v>
      </c>
      <c r="CI129" s="36">
        <v>10.918900000000001</v>
      </c>
      <c r="CJ129" s="36">
        <v>10.6759</v>
      </c>
      <c r="CK129" s="45">
        <v>9.0831</v>
      </c>
      <c r="CL129" s="45">
        <v>9.9596</v>
      </c>
      <c r="CM129" s="50">
        <v>9.6501000000000001</v>
      </c>
      <c r="CN129" s="70">
        <v>10.0692</v>
      </c>
      <c r="CO129" s="53">
        <v>10.500299999999999</v>
      </c>
      <c r="CP129" s="53">
        <v>10.762600000000001</v>
      </c>
      <c r="CQ129" s="53"/>
      <c r="CR129" s="53"/>
      <c r="CS129" s="53"/>
      <c r="CT129" s="53"/>
      <c r="CU129" s="53"/>
      <c r="CV129" s="53"/>
      <c r="CW129" s="53"/>
      <c r="CX129" s="53"/>
      <c r="CY129" s="53"/>
    </row>
    <row r="130" spans="1:103" ht="45" customHeight="1">
      <c r="A130" s="39">
        <v>7</v>
      </c>
      <c r="B130" s="40" t="s">
        <v>372</v>
      </c>
      <c r="C130" s="41" t="s">
        <v>373</v>
      </c>
      <c r="D130" s="41" t="s">
        <v>107</v>
      </c>
      <c r="E130" s="41" t="s">
        <v>144</v>
      </c>
      <c r="F130" s="41" t="s">
        <v>109</v>
      </c>
      <c r="G130" s="42" t="s">
        <v>110</v>
      </c>
      <c r="H130" s="35">
        <v>9.7899999999999991</v>
      </c>
      <c r="I130" s="36">
        <v>9.7899999999999991</v>
      </c>
      <c r="J130" s="36">
        <v>10.33</v>
      </c>
      <c r="K130" s="36">
        <v>10.64</v>
      </c>
      <c r="L130" s="36">
        <v>10.27</v>
      </c>
      <c r="M130" s="36">
        <v>10.039999999999999</v>
      </c>
      <c r="N130" s="36">
        <v>10.220000000000001</v>
      </c>
      <c r="O130" s="36">
        <v>9.91</v>
      </c>
      <c r="P130" s="36">
        <v>9.44</v>
      </c>
      <c r="Q130" s="36">
        <v>9.89</v>
      </c>
      <c r="R130" s="36">
        <v>9.83</v>
      </c>
      <c r="S130" s="37">
        <v>9.94</v>
      </c>
      <c r="T130" s="35">
        <v>9.85</v>
      </c>
      <c r="U130" s="36">
        <v>10.66</v>
      </c>
      <c r="V130" s="36">
        <v>9.9600000000000009</v>
      </c>
      <c r="W130" s="36">
        <v>10.76</v>
      </c>
      <c r="X130" s="36">
        <v>10.95</v>
      </c>
      <c r="Y130" s="36">
        <v>10.58</v>
      </c>
      <c r="Z130" s="36">
        <v>11.07</v>
      </c>
      <c r="AA130" s="36">
        <v>9.61</v>
      </c>
      <c r="AB130" s="36">
        <v>9.67</v>
      </c>
      <c r="AC130" s="36">
        <v>9.5299999999999994</v>
      </c>
      <c r="AD130" s="36">
        <v>9.41</v>
      </c>
      <c r="AE130" s="37">
        <v>9.58</v>
      </c>
      <c r="AF130" s="35">
        <v>9.7799999999999994</v>
      </c>
      <c r="AG130" s="36">
        <v>9.32</v>
      </c>
      <c r="AH130" s="36">
        <v>9.84</v>
      </c>
      <c r="AI130" s="36">
        <v>9.09</v>
      </c>
      <c r="AJ130" s="36">
        <v>8.8699999999999992</v>
      </c>
      <c r="AK130" s="36">
        <v>8.86</v>
      </c>
      <c r="AL130" s="36">
        <v>8.59</v>
      </c>
      <c r="AM130" s="36">
        <v>8.2799999999999994</v>
      </c>
      <c r="AN130" s="36">
        <v>8.34</v>
      </c>
      <c r="AO130" s="36">
        <v>8.92</v>
      </c>
      <c r="AP130" s="36">
        <v>8.65</v>
      </c>
      <c r="AQ130" s="37">
        <v>9.09</v>
      </c>
      <c r="AR130" s="35">
        <v>9.0299999999999994</v>
      </c>
      <c r="AS130" s="36">
        <v>9.15</v>
      </c>
      <c r="AT130" s="36">
        <v>9.3800000000000008</v>
      </c>
      <c r="AU130" s="36">
        <v>9.5399999999999991</v>
      </c>
      <c r="AV130" s="36">
        <v>9.36</v>
      </c>
      <c r="AW130" s="36">
        <v>9.9499999999999993</v>
      </c>
      <c r="AX130" s="36">
        <v>10.3</v>
      </c>
      <c r="AY130" s="36">
        <v>10.91</v>
      </c>
      <c r="AZ130" s="36">
        <v>9.6</v>
      </c>
      <c r="BA130" s="36">
        <v>8.5299999999999994</v>
      </c>
      <c r="BB130" s="36">
        <v>9.68</v>
      </c>
      <c r="BC130" s="37">
        <v>9.26</v>
      </c>
      <c r="BD130" s="35">
        <v>11.51</v>
      </c>
      <c r="BE130" s="36">
        <v>11.58</v>
      </c>
      <c r="BF130" s="36">
        <v>12.49</v>
      </c>
      <c r="BG130" s="36">
        <v>12.37</v>
      </c>
      <c r="BH130" s="36">
        <v>12.53</v>
      </c>
      <c r="BI130" s="36">
        <v>13.24</v>
      </c>
      <c r="BJ130" s="36">
        <v>15.22</v>
      </c>
      <c r="BK130" s="36">
        <v>14.96</v>
      </c>
      <c r="BL130" s="36">
        <v>15.62</v>
      </c>
      <c r="BM130" s="36">
        <v>15.75</v>
      </c>
      <c r="BN130" s="36">
        <v>15.58</v>
      </c>
      <c r="BO130" s="37">
        <v>13.26</v>
      </c>
      <c r="BP130" s="35">
        <v>12.21</v>
      </c>
      <c r="BQ130" s="36">
        <v>12.87</v>
      </c>
      <c r="BR130" s="47">
        <v>13.61</v>
      </c>
      <c r="BS130" s="36">
        <v>12.9175</v>
      </c>
      <c r="BT130" s="36">
        <v>11.8605</v>
      </c>
      <c r="BU130" s="36">
        <v>11.24</v>
      </c>
      <c r="BV130" s="36">
        <v>12.4747</v>
      </c>
      <c r="BW130" s="36">
        <v>8.7934000000000001</v>
      </c>
      <c r="BX130" s="36">
        <v>12.041</v>
      </c>
      <c r="BY130" s="36">
        <v>11.5297</v>
      </c>
      <c r="BZ130" s="36">
        <v>13.039300000000001</v>
      </c>
      <c r="CA130" s="38">
        <f>11.2397-0.5807</f>
        <v>10.658999999999999</v>
      </c>
      <c r="CB130" s="52">
        <v>10.676</v>
      </c>
      <c r="CC130" s="51">
        <v>10.9533</v>
      </c>
      <c r="CD130" s="45">
        <v>11.4636</v>
      </c>
      <c r="CE130" s="51">
        <v>11.3315</v>
      </c>
      <c r="CF130" s="45">
        <v>11.3809</v>
      </c>
      <c r="CG130" s="36">
        <v>9.5986999999999991</v>
      </c>
      <c r="CH130" s="36">
        <v>11.5136</v>
      </c>
      <c r="CI130" s="36">
        <v>11.682</v>
      </c>
      <c r="CJ130" s="36">
        <v>11.524100000000001</v>
      </c>
      <c r="CK130" s="51">
        <v>10.925800000000001</v>
      </c>
      <c r="CL130" s="51">
        <v>11.9298</v>
      </c>
      <c r="CM130" s="55">
        <v>11.5939</v>
      </c>
      <c r="CN130" s="36">
        <v>10.52</v>
      </c>
      <c r="CO130" s="51">
        <v>10.541600000000001</v>
      </c>
      <c r="CP130" s="51">
        <v>10.9855</v>
      </c>
      <c r="CQ130" s="51"/>
      <c r="CR130" s="51"/>
      <c r="CS130" s="51"/>
      <c r="CT130" s="51"/>
      <c r="CU130" s="51"/>
      <c r="CV130" s="51"/>
      <c r="CW130" s="51"/>
      <c r="CX130" s="51"/>
      <c r="CY130" s="51"/>
    </row>
    <row r="131" spans="1:103" ht="45" customHeight="1">
      <c r="A131" s="39">
        <v>101</v>
      </c>
      <c r="B131" s="40" t="s">
        <v>374</v>
      </c>
      <c r="C131" s="41" t="s">
        <v>375</v>
      </c>
      <c r="D131" s="41" t="s">
        <v>107</v>
      </c>
      <c r="E131" s="41" t="s">
        <v>141</v>
      </c>
      <c r="F131" s="41" t="s">
        <v>109</v>
      </c>
      <c r="G131" s="42" t="s">
        <v>110</v>
      </c>
      <c r="H131" s="35">
        <v>10.0428</v>
      </c>
      <c r="I131" s="36">
        <v>10.0754</v>
      </c>
      <c r="J131" s="36">
        <v>10.1357</v>
      </c>
      <c r="K131" s="36">
        <v>10.194900000000001</v>
      </c>
      <c r="L131" s="36">
        <v>10.1111</v>
      </c>
      <c r="M131" s="36">
        <v>9.7827999999999999</v>
      </c>
      <c r="N131" s="36">
        <v>9.6803000000000008</v>
      </c>
      <c r="O131" s="36">
        <v>9.6961999999999993</v>
      </c>
      <c r="P131" s="36">
        <v>9.5844000000000005</v>
      </c>
      <c r="Q131" s="36">
        <v>9.6950000000000003</v>
      </c>
      <c r="R131" s="36">
        <v>9.7463999999999995</v>
      </c>
      <c r="S131" s="37">
        <v>10.0815</v>
      </c>
      <c r="T131" s="35">
        <v>9.8666</v>
      </c>
      <c r="U131" s="36">
        <v>9.8917000000000002</v>
      </c>
      <c r="V131" s="36">
        <v>9.9507999999999992</v>
      </c>
      <c r="W131" s="36">
        <v>9.9192999999999998</v>
      </c>
      <c r="X131" s="36">
        <v>9.6110000000000007</v>
      </c>
      <c r="Y131" s="36">
        <v>9.5854999999999997</v>
      </c>
      <c r="Z131" s="36">
        <v>9.4430999999999994</v>
      </c>
      <c r="AA131" s="36">
        <v>9.5130999999999997</v>
      </c>
      <c r="AB131" s="36">
        <v>9.4643999999999995</v>
      </c>
      <c r="AC131" s="36">
        <v>9.5399999999999991</v>
      </c>
      <c r="AD131" s="36">
        <v>9.5211000000000006</v>
      </c>
      <c r="AE131" s="37">
        <v>9.7088999999999999</v>
      </c>
      <c r="AF131" s="35">
        <v>9.6836000000000002</v>
      </c>
      <c r="AG131" s="36">
        <v>9.4985999999999997</v>
      </c>
      <c r="AH131" s="36">
        <v>9.6587999999999994</v>
      </c>
      <c r="AI131" s="36">
        <v>9.6879000000000008</v>
      </c>
      <c r="AJ131" s="36">
        <v>10.1092</v>
      </c>
      <c r="AK131" s="36">
        <v>9.4143000000000008</v>
      </c>
      <c r="AL131" s="36">
        <v>9.2655999999999992</v>
      </c>
      <c r="AM131" s="36">
        <v>9.2797000000000001</v>
      </c>
      <c r="AN131" s="36">
        <v>9.3112999999999992</v>
      </c>
      <c r="AO131" s="36">
        <v>9.2683999999999997</v>
      </c>
      <c r="AP131" s="36">
        <v>9.4208999999999996</v>
      </c>
      <c r="AQ131" s="37">
        <v>9.3970000000000002</v>
      </c>
      <c r="AR131" s="35">
        <v>9.5853000000000002</v>
      </c>
      <c r="AS131" s="36">
        <v>8.0931999999999995</v>
      </c>
      <c r="AT131" s="36">
        <v>9.4011999999999993</v>
      </c>
      <c r="AU131" s="36">
        <v>10.1038</v>
      </c>
      <c r="AV131" s="36">
        <v>9.5093999999999994</v>
      </c>
      <c r="AW131" s="36">
        <v>12.234299999999999</v>
      </c>
      <c r="AX131" s="36">
        <v>12.7478</v>
      </c>
      <c r="AY131" s="36">
        <v>11.159000000000001</v>
      </c>
      <c r="AZ131" s="36">
        <v>10.947100000000001</v>
      </c>
      <c r="BA131" s="36">
        <v>9.7302999999999997</v>
      </c>
      <c r="BB131" s="36">
        <v>11.5312</v>
      </c>
      <c r="BC131" s="37">
        <v>12.544600000000001</v>
      </c>
      <c r="BD131" s="35">
        <v>12.768000000000001</v>
      </c>
      <c r="BE131" s="36">
        <v>13.9976</v>
      </c>
      <c r="BF131" s="36">
        <v>13.571199999999999</v>
      </c>
      <c r="BG131" s="36">
        <v>14.121499999999999</v>
      </c>
      <c r="BH131" s="36">
        <v>12.7936</v>
      </c>
      <c r="BI131" s="36">
        <v>12.6768</v>
      </c>
      <c r="BJ131" s="36">
        <v>15.5626</v>
      </c>
      <c r="BK131" s="36">
        <v>16.1325</v>
      </c>
      <c r="BL131" s="36">
        <v>16.124099999999999</v>
      </c>
      <c r="BM131" s="36">
        <v>16.018699999999999</v>
      </c>
      <c r="BN131" s="36">
        <v>16.238</v>
      </c>
      <c r="BO131" s="37">
        <v>12.768000000000001</v>
      </c>
      <c r="BP131" s="35">
        <v>14.5297</v>
      </c>
      <c r="BQ131" s="36">
        <v>11.3758</v>
      </c>
      <c r="BR131" s="36">
        <v>13.1183</v>
      </c>
      <c r="BS131" s="36">
        <v>12.7858</v>
      </c>
      <c r="BT131" s="36">
        <v>13.462</v>
      </c>
      <c r="BU131" s="36">
        <f>15.6823-1.9104</f>
        <v>13.771899999999999</v>
      </c>
      <c r="BV131" s="36">
        <v>12.9975</v>
      </c>
      <c r="BW131" s="36">
        <v>11.8568</v>
      </c>
      <c r="BX131" s="36">
        <v>11.843</v>
      </c>
      <c r="BY131" s="36">
        <v>7.7836999999999996</v>
      </c>
      <c r="BZ131" s="36">
        <v>12.172599999999999</v>
      </c>
      <c r="CA131" s="38">
        <v>9.6809999999999992</v>
      </c>
      <c r="CB131" s="35">
        <v>9.6071000000000009</v>
      </c>
      <c r="CC131" s="36">
        <v>9.5715000000000003</v>
      </c>
      <c r="CD131" s="36">
        <v>9.5715000000000003</v>
      </c>
      <c r="CE131" s="36">
        <v>11.510199999999999</v>
      </c>
      <c r="CF131" s="36">
        <v>12.476000000000001</v>
      </c>
      <c r="CG131" s="36">
        <v>7.6898999999999997</v>
      </c>
      <c r="CH131" s="36">
        <v>15.0174</v>
      </c>
      <c r="CI131" s="36"/>
      <c r="CJ131" s="36">
        <f>Table145[[#This Row],[Oct-24]]+2.5482</f>
        <v>14.667</v>
      </c>
      <c r="CK131" s="36">
        <v>12.1188</v>
      </c>
      <c r="CL131" s="36">
        <v>10.158200000000001</v>
      </c>
      <c r="CM131" s="38">
        <v>11.639900000000001</v>
      </c>
      <c r="CN131" s="36">
        <v>9.7700999999999993</v>
      </c>
      <c r="CO131" s="36">
        <v>9.3483999999999998</v>
      </c>
      <c r="CP131" s="36">
        <v>9.3442000000000007</v>
      </c>
      <c r="CQ131" s="36"/>
      <c r="CR131" s="36"/>
      <c r="CS131" s="36"/>
      <c r="CT131" s="36"/>
      <c r="CU131" s="36"/>
      <c r="CV131" s="36"/>
      <c r="CW131" s="36"/>
      <c r="CX131" s="36"/>
      <c r="CY131" s="36"/>
    </row>
    <row r="132" spans="1:103" ht="45" customHeight="1">
      <c r="A132" s="39">
        <v>135</v>
      </c>
      <c r="B132" s="40" t="s">
        <v>376</v>
      </c>
      <c r="C132" s="41" t="s">
        <v>377</v>
      </c>
      <c r="D132" s="41" t="s">
        <v>134</v>
      </c>
      <c r="E132" s="41" t="s">
        <v>157</v>
      </c>
      <c r="F132" s="41" t="s">
        <v>109</v>
      </c>
      <c r="G132" s="42" t="s">
        <v>110</v>
      </c>
      <c r="H132" s="35">
        <v>8.0215999999999994</v>
      </c>
      <c r="I132" s="36">
        <v>8.0258000000000003</v>
      </c>
      <c r="J132" s="36">
        <v>8.0833999999999993</v>
      </c>
      <c r="K132" s="36">
        <v>8.0747999999999998</v>
      </c>
      <c r="L132" s="36">
        <v>7.4280999999999997</v>
      </c>
      <c r="M132" s="36">
        <v>7.4260999999999999</v>
      </c>
      <c r="N132" s="36">
        <v>7.4194000000000004</v>
      </c>
      <c r="O132" s="36">
        <v>7.4339000000000004</v>
      </c>
      <c r="P132" s="36">
        <v>7.4179000000000004</v>
      </c>
      <c r="Q132" s="36">
        <v>7.4154999999999998</v>
      </c>
      <c r="R132" s="36">
        <v>7.3993000000000002</v>
      </c>
      <c r="S132" s="37">
        <v>7.3792999999999997</v>
      </c>
      <c r="T132" s="35">
        <v>7.1927000000000003</v>
      </c>
      <c r="U132" s="36">
        <v>7.2362000000000002</v>
      </c>
      <c r="V132" s="36">
        <v>7.2336</v>
      </c>
      <c r="W132" s="36">
        <v>7.258</v>
      </c>
      <c r="X132" s="36">
        <v>7.2183999999999999</v>
      </c>
      <c r="Y132" s="36">
        <v>7.2050000000000001</v>
      </c>
      <c r="Z132" s="36">
        <v>7.2412999999999998</v>
      </c>
      <c r="AA132" s="36"/>
      <c r="AB132" s="36">
        <v>7.1845999999999997</v>
      </c>
      <c r="AC132" s="36">
        <v>7.1595000000000004</v>
      </c>
      <c r="AD132" s="36">
        <v>7.1604999999999999</v>
      </c>
      <c r="AE132" s="37">
        <v>7.1012000000000004</v>
      </c>
      <c r="AF132" s="35">
        <v>7.2042999999999999</v>
      </c>
      <c r="AG132" s="36">
        <v>7.1460999999999997</v>
      </c>
      <c r="AH132" s="36">
        <v>7.1405000000000003</v>
      </c>
      <c r="AI132" s="36">
        <v>7.1058000000000003</v>
      </c>
      <c r="AJ132" s="36">
        <v>7.0556999999999999</v>
      </c>
      <c r="AK132" s="36">
        <v>7.0453000000000001</v>
      </c>
      <c r="AL132" s="36">
        <v>7.0460000000000003</v>
      </c>
      <c r="AM132" s="36">
        <v>6.9935</v>
      </c>
      <c r="AN132" s="36">
        <v>7.0469999999999997</v>
      </c>
      <c r="AO132" s="36">
        <v>7.0987</v>
      </c>
      <c r="AP132" s="36">
        <v>7.1021999999999998</v>
      </c>
      <c r="AQ132" s="37">
        <v>7.1308999999999996</v>
      </c>
      <c r="AR132" s="35">
        <v>7.1144999999999996</v>
      </c>
      <c r="AS132" s="36">
        <v>7.0926</v>
      </c>
      <c r="AT132" s="36">
        <v>7.0647000000000002</v>
      </c>
      <c r="AU132" s="36">
        <v>7.0734000000000004</v>
      </c>
      <c r="AV132" s="36">
        <v>7.0671999999999997</v>
      </c>
      <c r="AW132" s="36">
        <v>7.0553999999999997</v>
      </c>
      <c r="AX132" s="36">
        <v>7.0533999999999999</v>
      </c>
      <c r="AY132" s="36">
        <v>7.0438000000000001</v>
      </c>
      <c r="AZ132" s="36">
        <v>6.9954999999999998</v>
      </c>
      <c r="BA132" s="36">
        <v>6.9984999999999999</v>
      </c>
      <c r="BB132" s="36">
        <v>7.0072999999999999</v>
      </c>
      <c r="BC132" s="37">
        <v>6.9843000000000002</v>
      </c>
      <c r="BD132" s="35">
        <v>6.9560000000000004</v>
      </c>
      <c r="BE132" s="36">
        <v>6.9386000000000001</v>
      </c>
      <c r="BF132" s="36">
        <v>7.2575000000000003</v>
      </c>
      <c r="BG132" s="36">
        <v>7.67</v>
      </c>
      <c r="BH132" s="36">
        <v>7.6356000000000002</v>
      </c>
      <c r="BI132" s="36">
        <v>7.6414999999999997</v>
      </c>
      <c r="BJ132" s="36">
        <v>7.6285999999999996</v>
      </c>
      <c r="BK132" s="36">
        <v>7.5621</v>
      </c>
      <c r="BL132" s="36">
        <v>7.7355</v>
      </c>
      <c r="BM132" s="36">
        <v>7.7051999999999996</v>
      </c>
      <c r="BN132" s="36">
        <v>7.7051999999999996</v>
      </c>
      <c r="BO132" s="37">
        <v>7.4071999999999996</v>
      </c>
      <c r="BP132" s="35">
        <v>7.7262000000000004</v>
      </c>
      <c r="BQ132" s="36">
        <v>8.3238000000000003</v>
      </c>
      <c r="BR132" s="36">
        <v>7.7766999999999999</v>
      </c>
      <c r="BS132" s="36">
        <v>8.7373999999999992</v>
      </c>
      <c r="BT132" s="36">
        <v>8.3698999999999995</v>
      </c>
      <c r="BU132" s="36">
        <f>11.4047-1.2161</f>
        <v>10.188600000000001</v>
      </c>
      <c r="BV132" s="36">
        <f>11.3939-1.2162</f>
        <v>10.1777</v>
      </c>
      <c r="BW132" s="36">
        <f>11.3984-1.1918</f>
        <v>10.2066</v>
      </c>
      <c r="BX132" s="36">
        <f>11.3232-1.2007</f>
        <v>10.1225</v>
      </c>
      <c r="BY132" s="36">
        <v>11.3489</v>
      </c>
      <c r="BZ132" s="36">
        <v>11.3714</v>
      </c>
      <c r="CA132" s="38">
        <v>11.370699999999999</v>
      </c>
      <c r="CB132" s="63">
        <v>11.333600000000001</v>
      </c>
      <c r="CC132" s="36">
        <v>11.4369</v>
      </c>
      <c r="CD132" s="36">
        <v>10.2178</v>
      </c>
      <c r="CE132" s="36">
        <v>11.931699999999999</v>
      </c>
      <c r="CF132" s="36">
        <v>10.646100000000001</v>
      </c>
      <c r="CG132" s="36">
        <f>11.922-0.8494-0.0515-0.3556-0.0017</f>
        <v>10.6638</v>
      </c>
      <c r="CH132" s="36">
        <v>10.6937</v>
      </c>
      <c r="CI132" s="36">
        <v>10.6473</v>
      </c>
      <c r="CJ132" s="36">
        <v>10.6713</v>
      </c>
      <c r="CK132" s="36">
        <v>10.6957</v>
      </c>
      <c r="CL132" s="36">
        <v>10.7074</v>
      </c>
      <c r="CM132" s="38">
        <v>10.6922</v>
      </c>
      <c r="CN132" s="36">
        <v>10.689500000000001</v>
      </c>
      <c r="CO132" s="36">
        <v>10.649699999999999</v>
      </c>
      <c r="CP132" s="36"/>
      <c r="CQ132" s="36"/>
      <c r="CR132" s="36"/>
      <c r="CS132" s="36"/>
      <c r="CT132" s="36"/>
      <c r="CU132" s="36"/>
      <c r="CV132" s="36"/>
      <c r="CW132" s="36"/>
      <c r="CX132" s="36"/>
      <c r="CY132" s="36"/>
    </row>
    <row r="133" spans="1:103" ht="45" customHeight="1">
      <c r="A133" s="39">
        <v>79</v>
      </c>
      <c r="B133" s="40" t="s">
        <v>378</v>
      </c>
      <c r="C133" s="41" t="s">
        <v>379</v>
      </c>
      <c r="D133" s="41" t="s">
        <v>107</v>
      </c>
      <c r="E133" s="41" t="s">
        <v>113</v>
      </c>
      <c r="F133" s="41" t="s">
        <v>109</v>
      </c>
      <c r="G133" s="42" t="s">
        <v>110</v>
      </c>
      <c r="H133" s="35"/>
      <c r="I133" s="36"/>
      <c r="J133" s="36"/>
      <c r="K133" s="36"/>
      <c r="L133" s="36"/>
      <c r="M133" s="36"/>
      <c r="N133" s="36"/>
      <c r="O133" s="36"/>
      <c r="P133" s="36"/>
      <c r="Q133" s="36"/>
      <c r="R133" s="36"/>
      <c r="S133" s="37"/>
      <c r="T133" s="35"/>
      <c r="U133" s="36"/>
      <c r="V133" s="36"/>
      <c r="W133" s="36"/>
      <c r="X133" s="36"/>
      <c r="Y133" s="36"/>
      <c r="Z133" s="36"/>
      <c r="AA133" s="36"/>
      <c r="AB133" s="36"/>
      <c r="AC133" s="36"/>
      <c r="AD133" s="36"/>
      <c r="AE133" s="37"/>
      <c r="AF133" s="35">
        <v>9.82</v>
      </c>
      <c r="AG133" s="36">
        <v>10.3</v>
      </c>
      <c r="AH133" s="36">
        <v>9.1199999999999992</v>
      </c>
      <c r="AI133" s="36">
        <v>8.16</v>
      </c>
      <c r="AJ133" s="36">
        <v>8.2200000000000006</v>
      </c>
      <c r="AK133" s="36">
        <v>8.34</v>
      </c>
      <c r="AL133" s="36">
        <v>8.2899999999999991</v>
      </c>
      <c r="AM133" s="36">
        <v>9.42</v>
      </c>
      <c r="AN133" s="36">
        <v>8.5500000000000007</v>
      </c>
      <c r="AO133" s="36">
        <v>8.3699999999999992</v>
      </c>
      <c r="AP133" s="36">
        <v>8.3000000000000007</v>
      </c>
      <c r="AQ133" s="37">
        <v>8.24</v>
      </c>
      <c r="AR133" s="35">
        <v>8.7899999999999991</v>
      </c>
      <c r="AS133" s="36">
        <v>9.24</v>
      </c>
      <c r="AT133" s="36">
        <v>9.8000000000000007</v>
      </c>
      <c r="AU133" s="36">
        <v>8.51</v>
      </c>
      <c r="AV133" s="36">
        <v>8.69</v>
      </c>
      <c r="AW133" s="36">
        <v>9.42</v>
      </c>
      <c r="AX133" s="36">
        <v>8.76</v>
      </c>
      <c r="AY133" s="36">
        <v>7.8</v>
      </c>
      <c r="AZ133" s="36">
        <v>11.54</v>
      </c>
      <c r="BA133" s="36">
        <v>11.83</v>
      </c>
      <c r="BB133" s="36">
        <v>12.72</v>
      </c>
      <c r="BC133" s="37">
        <v>12.93</v>
      </c>
      <c r="BD133" s="35">
        <v>14.57</v>
      </c>
      <c r="BE133" s="36">
        <v>14.19</v>
      </c>
      <c r="BF133" s="36">
        <v>14.78</v>
      </c>
      <c r="BG133" s="36">
        <v>14.34</v>
      </c>
      <c r="BH133" s="36">
        <v>14.49</v>
      </c>
      <c r="BI133" s="36">
        <v>14.95</v>
      </c>
      <c r="BJ133" s="36">
        <v>16.98</v>
      </c>
      <c r="BK133" s="36">
        <v>19.1813</v>
      </c>
      <c r="BL133" s="36"/>
      <c r="BM133" s="36">
        <v>19.670000000000002</v>
      </c>
      <c r="BN133" s="36">
        <v>16.2</v>
      </c>
      <c r="BO133" s="37">
        <v>16.93</v>
      </c>
      <c r="BP133" s="35">
        <v>16.98</v>
      </c>
      <c r="BQ133" s="36">
        <v>16.88</v>
      </c>
      <c r="BR133" s="36">
        <v>16.96</v>
      </c>
      <c r="BS133" s="36">
        <v>16.82</v>
      </c>
      <c r="BT133" s="36">
        <v>16.48</v>
      </c>
      <c r="BU133" s="36">
        <f>16.2873-2.1782</f>
        <v>14.109099999999998</v>
      </c>
      <c r="BV133" s="36">
        <f>15.9789-2.1695</f>
        <v>13.8094</v>
      </c>
      <c r="BW133" s="36">
        <f>15.1335-2.0953</f>
        <v>13.0382</v>
      </c>
      <c r="BX133" s="36">
        <f>9.9975+0.7766+1.3194+0.9944</f>
        <v>13.087900000000001</v>
      </c>
      <c r="BY133" s="36">
        <f>15.19-2.1231</f>
        <v>13.0669</v>
      </c>
      <c r="BZ133" s="36">
        <v>15.2072</v>
      </c>
      <c r="CA133" s="38">
        <v>15.2271</v>
      </c>
      <c r="CB133" s="63">
        <v>12.556900000000001</v>
      </c>
      <c r="CC133" s="36">
        <v>7.9846000000000004</v>
      </c>
      <c r="CD133" s="36">
        <v>12.513199999999999</v>
      </c>
      <c r="CE133" s="36">
        <v>11.089600000000001</v>
      </c>
      <c r="CF133" s="45">
        <v>11.75</v>
      </c>
      <c r="CG133" s="45">
        <v>12.5108</v>
      </c>
      <c r="CH133" s="49">
        <v>13.382199999999999</v>
      </c>
      <c r="CI133" s="45">
        <v>12.3757</v>
      </c>
      <c r="CJ133" s="45">
        <v>12.2539</v>
      </c>
      <c r="CK133" s="36">
        <v>11.9047</v>
      </c>
      <c r="CL133" s="36">
        <v>11.2806</v>
      </c>
      <c r="CM133" s="38">
        <v>11.714399999999999</v>
      </c>
      <c r="CN133" s="74">
        <v>11.5251</v>
      </c>
      <c r="CO133" s="54">
        <v>7.2626999999999997</v>
      </c>
      <c r="CP133" s="54">
        <v>2.1227999999999998</v>
      </c>
      <c r="CQ133" s="54"/>
      <c r="CR133" s="54"/>
      <c r="CS133" s="54"/>
      <c r="CT133" s="54"/>
      <c r="CU133" s="54"/>
      <c r="CV133" s="54"/>
      <c r="CW133" s="54"/>
      <c r="CX133" s="54"/>
      <c r="CY133" s="54"/>
    </row>
    <row r="134" spans="1:103" ht="45" customHeight="1">
      <c r="A134" s="39">
        <v>88</v>
      </c>
      <c r="B134" s="40" t="s">
        <v>380</v>
      </c>
      <c r="C134" s="41" t="s">
        <v>381</v>
      </c>
      <c r="D134" s="41" t="s">
        <v>107</v>
      </c>
      <c r="E134" s="41" t="s">
        <v>154</v>
      </c>
      <c r="F134" s="41" t="s">
        <v>118</v>
      </c>
      <c r="G134" s="42" t="s">
        <v>110</v>
      </c>
      <c r="H134" s="35"/>
      <c r="I134" s="36"/>
      <c r="J134" s="36"/>
      <c r="K134" s="36"/>
      <c r="L134" s="36"/>
      <c r="M134" s="36"/>
      <c r="N134" s="36"/>
      <c r="O134" s="36"/>
      <c r="P134" s="36"/>
      <c r="Q134" s="36"/>
      <c r="R134" s="36"/>
      <c r="S134" s="37"/>
      <c r="T134" s="35"/>
      <c r="U134" s="36"/>
      <c r="V134" s="36"/>
      <c r="W134" s="36"/>
      <c r="X134" s="36"/>
      <c r="Y134" s="36"/>
      <c r="Z134" s="36"/>
      <c r="AA134" s="36"/>
      <c r="AB134" s="36"/>
      <c r="AC134" s="36"/>
      <c r="AD134" s="36"/>
      <c r="AE134" s="37"/>
      <c r="AF134" s="35"/>
      <c r="AG134" s="36"/>
      <c r="AH134" s="36"/>
      <c r="AI134" s="36"/>
      <c r="AJ134" s="36"/>
      <c r="AK134" s="36"/>
      <c r="AL134" s="36"/>
      <c r="AM134" s="36"/>
      <c r="AN134" s="36"/>
      <c r="AO134" s="36"/>
      <c r="AP134" s="36"/>
      <c r="AQ134" s="37"/>
      <c r="AR134" s="35"/>
      <c r="AS134" s="36"/>
      <c r="AT134" s="36"/>
      <c r="AU134" s="36"/>
      <c r="AV134" s="36"/>
      <c r="AW134" s="36"/>
      <c r="AX134" s="36"/>
      <c r="AY134" s="36"/>
      <c r="AZ134" s="36"/>
      <c r="BA134" s="36"/>
      <c r="BB134" s="36"/>
      <c r="BC134" s="37"/>
      <c r="BD134" s="35">
        <v>12.4237</v>
      </c>
      <c r="BE134" s="36">
        <v>14.016</v>
      </c>
      <c r="BF134" s="36">
        <v>14.354900000000001</v>
      </c>
      <c r="BG134" s="36">
        <v>14.4331</v>
      </c>
      <c r="BH134" s="36">
        <v>14.203799999999999</v>
      </c>
      <c r="BI134" s="36">
        <v>14.935700000000001</v>
      </c>
      <c r="BJ134" s="36">
        <v>16.482500000000002</v>
      </c>
      <c r="BK134" s="36">
        <v>15.552300000000001</v>
      </c>
      <c r="BL134" s="36">
        <v>18.2287</v>
      </c>
      <c r="BM134" s="36">
        <v>16.921800000000001</v>
      </c>
      <c r="BN134" s="36">
        <v>17.2041</v>
      </c>
      <c r="BO134" s="37">
        <v>15.3973</v>
      </c>
      <c r="BP134" s="35">
        <v>14.7019</v>
      </c>
      <c r="BQ134" s="36">
        <v>14.6815</v>
      </c>
      <c r="BR134" s="47">
        <v>11.0914</v>
      </c>
      <c r="BS134" s="36">
        <v>14.023999999999999</v>
      </c>
      <c r="BT134" s="36">
        <v>13.5974</v>
      </c>
      <c r="BU134" s="36">
        <v>13.0749</v>
      </c>
      <c r="BV134" s="36">
        <v>13.0966</v>
      </c>
      <c r="BW134" s="36">
        <v>12.2775</v>
      </c>
      <c r="BX134" s="36">
        <v>11.5046</v>
      </c>
      <c r="BY134" s="36">
        <v>12.133699999999999</v>
      </c>
      <c r="BZ134" s="36">
        <v>13.9003</v>
      </c>
      <c r="CA134" s="38">
        <v>12.3904</v>
      </c>
      <c r="CB134" s="52">
        <v>12.6427</v>
      </c>
      <c r="CC134" s="51">
        <v>11.2646</v>
      </c>
      <c r="CD134" s="45">
        <v>12.4335</v>
      </c>
      <c r="CE134" s="45">
        <v>12.151400000000001</v>
      </c>
      <c r="CF134" s="45">
        <v>11.245799999999999</v>
      </c>
      <c r="CG134" s="45">
        <v>10.469200000000001</v>
      </c>
      <c r="CH134" s="45">
        <v>14.270099999999999</v>
      </c>
      <c r="CI134" s="45">
        <v>13.754899999999999</v>
      </c>
      <c r="CJ134" s="45">
        <v>16.661999999999999</v>
      </c>
      <c r="CK134" s="45">
        <v>13.564399999999999</v>
      </c>
      <c r="CL134" s="45">
        <v>14.5565</v>
      </c>
      <c r="CM134" s="55">
        <v>12.422800000000001</v>
      </c>
      <c r="CN134" s="49">
        <v>12.373799999999999</v>
      </c>
      <c r="CO134" s="51">
        <v>11.920299999999999</v>
      </c>
      <c r="CP134" s="51">
        <v>11.3528</v>
      </c>
      <c r="CQ134" s="51"/>
      <c r="CR134" s="51"/>
      <c r="CS134" s="51"/>
      <c r="CT134" s="51"/>
      <c r="CU134" s="51"/>
      <c r="CV134" s="51"/>
      <c r="CW134" s="51"/>
      <c r="CX134" s="51"/>
      <c r="CY134" s="51"/>
    </row>
    <row r="135" spans="1:103" ht="45" customHeight="1">
      <c r="A135" s="39">
        <v>34</v>
      </c>
      <c r="B135" s="40" t="s">
        <v>382</v>
      </c>
      <c r="C135" s="41" t="s">
        <v>383</v>
      </c>
      <c r="D135" s="41" t="s">
        <v>107</v>
      </c>
      <c r="E135" s="41" t="s">
        <v>154</v>
      </c>
      <c r="F135" s="41" t="s">
        <v>118</v>
      </c>
      <c r="G135" s="42" t="s">
        <v>110</v>
      </c>
      <c r="H135" s="35"/>
      <c r="I135" s="36"/>
      <c r="J135" s="36"/>
      <c r="K135" s="36"/>
      <c r="L135" s="36"/>
      <c r="M135" s="36"/>
      <c r="N135" s="36"/>
      <c r="O135" s="36"/>
      <c r="P135" s="36"/>
      <c r="Q135" s="36"/>
      <c r="R135" s="36"/>
      <c r="S135" s="37"/>
      <c r="T135" s="35"/>
      <c r="U135" s="36"/>
      <c r="V135" s="36"/>
      <c r="W135" s="36"/>
      <c r="X135" s="36"/>
      <c r="Y135" s="36"/>
      <c r="Z135" s="36"/>
      <c r="AA135" s="36"/>
      <c r="AB135" s="36"/>
      <c r="AC135" s="36"/>
      <c r="AD135" s="36"/>
      <c r="AE135" s="37"/>
      <c r="AF135" s="35"/>
      <c r="AG135" s="36"/>
      <c r="AH135" s="36"/>
      <c r="AI135" s="36"/>
      <c r="AJ135" s="36"/>
      <c r="AK135" s="36"/>
      <c r="AL135" s="36"/>
      <c r="AM135" s="36"/>
      <c r="AN135" s="36"/>
      <c r="AO135" s="36"/>
      <c r="AP135" s="36"/>
      <c r="AQ135" s="37"/>
      <c r="AR135" s="35"/>
      <c r="AS135" s="36"/>
      <c r="AT135" s="36"/>
      <c r="AU135" s="36"/>
      <c r="AV135" s="36"/>
      <c r="AW135" s="36"/>
      <c r="AX135" s="36"/>
      <c r="AY135" s="36"/>
      <c r="AZ135" s="36"/>
      <c r="BA135" s="36"/>
      <c r="BB135" s="36"/>
      <c r="BC135" s="37"/>
      <c r="BD135" s="35">
        <v>13.9084</v>
      </c>
      <c r="BE135" s="36">
        <v>14.285500000000001</v>
      </c>
      <c r="BF135" s="36">
        <v>15.4582</v>
      </c>
      <c r="BG135" s="36">
        <v>14.649800000000001</v>
      </c>
      <c r="BH135" s="36">
        <v>15.1699</v>
      </c>
      <c r="BI135" s="36">
        <v>15.849500000000001</v>
      </c>
      <c r="BJ135" s="36">
        <v>17.2287</v>
      </c>
      <c r="BK135" s="36">
        <v>16.9194</v>
      </c>
      <c r="BL135" s="36"/>
      <c r="BM135" s="36">
        <v>17.388500000000001</v>
      </c>
      <c r="BN135" s="36">
        <v>17.887599999999999</v>
      </c>
      <c r="BO135" s="37">
        <v>16.330500000000001</v>
      </c>
      <c r="BP135" s="35">
        <v>15.712199999999999</v>
      </c>
      <c r="BQ135" s="36">
        <v>16.9648</v>
      </c>
      <c r="BR135" s="36">
        <v>15.0845</v>
      </c>
      <c r="BS135" s="36">
        <v>14.28</v>
      </c>
      <c r="BT135" s="36"/>
      <c r="BU135" s="36">
        <v>14.2873</v>
      </c>
      <c r="BV135" s="36">
        <v>13.693099999999999</v>
      </c>
      <c r="BW135" s="36">
        <v>11.819699999999999</v>
      </c>
      <c r="BX135" s="36">
        <v>11.803599999999999</v>
      </c>
      <c r="BY135" s="36">
        <v>9.8422999999999998</v>
      </c>
      <c r="BZ135" s="36">
        <v>15.446099999999999</v>
      </c>
      <c r="CA135" s="38">
        <v>13.2187</v>
      </c>
      <c r="CB135" s="52">
        <v>12.861700000000001</v>
      </c>
      <c r="CC135" s="45">
        <v>11.5707</v>
      </c>
      <c r="CD135" s="45">
        <v>12.234500000000001</v>
      </c>
      <c r="CE135" s="51">
        <v>11.201700000000001</v>
      </c>
      <c r="CF135" s="51">
        <v>11.7385</v>
      </c>
      <c r="CG135" s="36">
        <v>11.6754</v>
      </c>
      <c r="CH135" s="45">
        <v>13.68</v>
      </c>
      <c r="CI135" s="36">
        <v>13.5745</v>
      </c>
      <c r="CJ135" s="51">
        <v>16.127600000000001</v>
      </c>
      <c r="CK135" s="51">
        <v>12.739800000000001</v>
      </c>
      <c r="CL135" s="51">
        <v>14.336600000000001</v>
      </c>
      <c r="CM135" s="55">
        <v>12.568099999999999</v>
      </c>
      <c r="CN135" s="36">
        <v>14.336600000000001</v>
      </c>
      <c r="CO135" s="51">
        <v>14.349</v>
      </c>
      <c r="CP135" s="51">
        <v>13.2112</v>
      </c>
      <c r="CQ135" s="51"/>
      <c r="CR135" s="51"/>
      <c r="CS135" s="51"/>
      <c r="CT135" s="51"/>
      <c r="CU135" s="51"/>
      <c r="CV135" s="51"/>
      <c r="CW135" s="51"/>
      <c r="CX135" s="51"/>
      <c r="CY135" s="51"/>
    </row>
    <row r="136" spans="1:103" ht="45" customHeight="1">
      <c r="A136" s="39">
        <v>146</v>
      </c>
      <c r="B136" s="40" t="s">
        <v>384</v>
      </c>
      <c r="C136" s="41" t="s">
        <v>385</v>
      </c>
      <c r="D136" s="41" t="s">
        <v>107</v>
      </c>
      <c r="E136" s="41" t="s">
        <v>113</v>
      </c>
      <c r="F136" s="41" t="s">
        <v>109</v>
      </c>
      <c r="G136" s="42" t="s">
        <v>151</v>
      </c>
      <c r="H136" s="35"/>
      <c r="I136" s="36"/>
      <c r="J136" s="36"/>
      <c r="K136" s="36"/>
      <c r="L136" s="36"/>
      <c r="M136" s="36"/>
      <c r="N136" s="36"/>
      <c r="O136" s="36"/>
      <c r="P136" s="36"/>
      <c r="Q136" s="36"/>
      <c r="R136" s="36"/>
      <c r="S136" s="37"/>
      <c r="T136" s="35"/>
      <c r="U136" s="36"/>
      <c r="V136" s="36"/>
      <c r="W136" s="36"/>
      <c r="X136" s="36"/>
      <c r="Y136" s="36"/>
      <c r="Z136" s="36"/>
      <c r="AA136" s="36"/>
      <c r="AB136" s="36"/>
      <c r="AC136" s="36"/>
      <c r="AD136" s="36"/>
      <c r="AE136" s="37"/>
      <c r="AF136" s="35"/>
      <c r="AG136" s="36"/>
      <c r="AH136" s="36"/>
      <c r="AI136" s="36"/>
      <c r="AJ136" s="36"/>
      <c r="AK136" s="36"/>
      <c r="AL136" s="36"/>
      <c r="AM136" s="36"/>
      <c r="AN136" s="36"/>
      <c r="AO136" s="36"/>
      <c r="AP136" s="36"/>
      <c r="AQ136" s="37"/>
      <c r="AR136" s="35"/>
      <c r="AS136" s="36"/>
      <c r="AT136" s="36"/>
      <c r="AU136" s="36"/>
      <c r="AV136" s="36"/>
      <c r="AW136" s="36"/>
      <c r="AX136" s="36"/>
      <c r="AY136" s="36"/>
      <c r="AZ136" s="36"/>
      <c r="BA136" s="36"/>
      <c r="BB136" s="36"/>
      <c r="BC136" s="37"/>
      <c r="BD136" s="35">
        <v>10.903</v>
      </c>
      <c r="BE136" s="36">
        <v>11.3177</v>
      </c>
      <c r="BF136" s="36">
        <v>11.482699999999999</v>
      </c>
      <c r="BG136" s="36">
        <v>12.157500000000001</v>
      </c>
      <c r="BH136" s="36">
        <v>12.6525</v>
      </c>
      <c r="BI136" s="36"/>
      <c r="BJ136" s="36">
        <v>13.9869</v>
      </c>
      <c r="BK136" s="36">
        <v>14.8329</v>
      </c>
      <c r="BL136" s="36">
        <v>13.7844</v>
      </c>
      <c r="BM136" s="36">
        <v>14.7446</v>
      </c>
      <c r="BN136" s="36"/>
      <c r="BO136" s="37">
        <v>12.8901</v>
      </c>
      <c r="BP136" s="35">
        <v>13.985799999999999</v>
      </c>
      <c r="BQ136" s="36">
        <v>10.586499999999999</v>
      </c>
      <c r="BR136" s="47">
        <v>11.166499999999999</v>
      </c>
      <c r="BS136" s="36">
        <v>10.782999999999999</v>
      </c>
      <c r="BT136" s="36">
        <v>10.662599999999999</v>
      </c>
      <c r="BU136" s="36">
        <v>10.9732</v>
      </c>
      <c r="BV136" s="36">
        <v>10.9732</v>
      </c>
      <c r="BW136" s="36">
        <v>9.6030999999999995</v>
      </c>
      <c r="BX136" s="36">
        <v>9.577</v>
      </c>
      <c r="BY136" s="36">
        <v>9.2749000000000006</v>
      </c>
      <c r="BZ136" s="36">
        <v>10.410600000000001</v>
      </c>
      <c r="CA136" s="38">
        <v>8.7646999999999995</v>
      </c>
      <c r="CB136" s="35">
        <v>9.0050000000000008</v>
      </c>
      <c r="CC136" s="36">
        <v>9.0239999999999991</v>
      </c>
      <c r="CD136" s="36">
        <v>9.1647999999999996</v>
      </c>
      <c r="CE136" s="36">
        <v>9.2889999999999997</v>
      </c>
      <c r="CF136" s="36">
        <v>10.212899999999999</v>
      </c>
      <c r="CG136" s="36">
        <v>7.5366</v>
      </c>
      <c r="CH136" s="36">
        <v>11.2775</v>
      </c>
      <c r="CI136" s="36">
        <v>12.17</v>
      </c>
      <c r="CJ136" s="36">
        <v>12.74</v>
      </c>
      <c r="CK136" s="36">
        <v>9.2799999999999994</v>
      </c>
      <c r="CL136" s="36">
        <v>9.44</v>
      </c>
      <c r="CM136" s="38">
        <v>9.51</v>
      </c>
      <c r="CN136" s="70">
        <v>8.8000000000000007</v>
      </c>
      <c r="CO136" s="70">
        <v>8.6300000000000008</v>
      </c>
      <c r="CP136" s="70"/>
      <c r="CQ136" s="70"/>
      <c r="CR136" s="70"/>
      <c r="CS136" s="70"/>
      <c r="CT136" s="70"/>
      <c r="CU136" s="70"/>
      <c r="CV136" s="70"/>
      <c r="CW136" s="70"/>
      <c r="CX136" s="70"/>
      <c r="CY136" s="70"/>
    </row>
    <row r="137" spans="1:103" ht="45" customHeight="1">
      <c r="A137" s="39">
        <v>81</v>
      </c>
      <c r="B137" s="40" t="s">
        <v>386</v>
      </c>
      <c r="C137" s="41" t="s">
        <v>387</v>
      </c>
      <c r="D137" s="41" t="s">
        <v>107</v>
      </c>
      <c r="E137" s="41" t="s">
        <v>113</v>
      </c>
      <c r="F137" s="41" t="s">
        <v>109</v>
      </c>
      <c r="G137" s="42" t="s">
        <v>114</v>
      </c>
      <c r="H137" s="35"/>
      <c r="I137" s="36"/>
      <c r="J137" s="36"/>
      <c r="K137" s="36"/>
      <c r="L137" s="36"/>
      <c r="M137" s="36"/>
      <c r="N137" s="36"/>
      <c r="O137" s="36"/>
      <c r="P137" s="36"/>
      <c r="Q137" s="36"/>
      <c r="R137" s="36"/>
      <c r="S137" s="37"/>
      <c r="T137" s="35"/>
      <c r="U137" s="36"/>
      <c r="V137" s="36"/>
      <c r="W137" s="36"/>
      <c r="X137" s="36"/>
      <c r="Y137" s="36"/>
      <c r="Z137" s="36"/>
      <c r="AA137" s="36"/>
      <c r="AB137" s="36"/>
      <c r="AC137" s="36"/>
      <c r="AD137" s="36"/>
      <c r="AE137" s="37"/>
      <c r="AF137" s="35"/>
      <c r="AG137" s="36"/>
      <c r="AH137" s="36"/>
      <c r="AI137" s="36"/>
      <c r="AJ137" s="36"/>
      <c r="AK137" s="36"/>
      <c r="AL137" s="36"/>
      <c r="AM137" s="36"/>
      <c r="AN137" s="36"/>
      <c r="AO137" s="36"/>
      <c r="AP137" s="36"/>
      <c r="AQ137" s="37"/>
      <c r="AR137" s="35"/>
      <c r="AS137" s="36"/>
      <c r="AT137" s="36"/>
      <c r="AU137" s="36"/>
      <c r="AV137" s="36"/>
      <c r="AW137" s="36"/>
      <c r="AX137" s="36"/>
      <c r="AY137" s="36"/>
      <c r="AZ137" s="36"/>
      <c r="BA137" s="36"/>
      <c r="BB137" s="36"/>
      <c r="BC137" s="37"/>
      <c r="BD137" s="35"/>
      <c r="BE137" s="36"/>
      <c r="BF137" s="36"/>
      <c r="BG137" s="36"/>
      <c r="BH137" s="36"/>
      <c r="BI137" s="36"/>
      <c r="BJ137" s="36"/>
      <c r="BK137" s="36"/>
      <c r="BL137" s="36"/>
      <c r="BM137" s="36"/>
      <c r="BN137" s="36"/>
      <c r="BO137" s="37"/>
      <c r="BP137" s="35">
        <v>7.9809999999999999</v>
      </c>
      <c r="BQ137" s="36">
        <v>11.9315</v>
      </c>
      <c r="BR137" s="36">
        <v>11.925700000000001</v>
      </c>
      <c r="BS137" s="36">
        <v>11.3293</v>
      </c>
      <c r="BT137" s="36">
        <v>11.1473</v>
      </c>
      <c r="BU137" s="36">
        <v>11.1447</v>
      </c>
      <c r="BV137" s="36">
        <v>10.609500000000001</v>
      </c>
      <c r="BW137" s="36">
        <v>9.5221699999999991</v>
      </c>
      <c r="BX137" s="36">
        <v>9.5221699999999991</v>
      </c>
      <c r="BY137" s="36">
        <v>8.7477999999999998</v>
      </c>
      <c r="BZ137" s="36">
        <v>11.95</v>
      </c>
      <c r="CA137" s="38">
        <v>7.98041</v>
      </c>
      <c r="CB137" s="35">
        <v>8.3890600000000006</v>
      </c>
      <c r="CC137" s="51">
        <v>9.0966000000000005</v>
      </c>
      <c r="CD137" s="36">
        <v>9.2200000000000006</v>
      </c>
      <c r="CE137" s="45">
        <v>10.54</v>
      </c>
      <c r="CF137" s="44">
        <v>12.2</v>
      </c>
      <c r="CG137" s="36">
        <v>6.57</v>
      </c>
      <c r="CH137" s="49">
        <v>13.81</v>
      </c>
      <c r="CI137" s="49">
        <f>14.658</f>
        <v>14.657999999999999</v>
      </c>
      <c r="CJ137" s="45">
        <v>15.18</v>
      </c>
      <c r="CK137" s="36">
        <v>10.58</v>
      </c>
      <c r="CL137" s="36">
        <v>9.7706</v>
      </c>
      <c r="CM137" s="38">
        <v>10.3767</v>
      </c>
      <c r="CN137" s="49">
        <v>9.8225999999999996</v>
      </c>
      <c r="CO137" s="36">
        <v>11.64</v>
      </c>
      <c r="CP137" s="36">
        <v>11.85</v>
      </c>
      <c r="CQ137" s="36"/>
      <c r="CR137" s="36"/>
      <c r="CS137" s="36"/>
      <c r="CT137" s="36"/>
      <c r="CU137" s="36"/>
      <c r="CV137" s="36"/>
      <c r="CW137" s="36"/>
      <c r="CX137" s="36"/>
      <c r="CY137" s="36"/>
    </row>
    <row r="138" spans="1:103" ht="45" customHeight="1">
      <c r="A138" s="39">
        <v>105</v>
      </c>
      <c r="B138" s="40" t="s">
        <v>388</v>
      </c>
      <c r="C138" s="41" t="s">
        <v>389</v>
      </c>
      <c r="D138" s="41" t="s">
        <v>107</v>
      </c>
      <c r="E138" s="41" t="s">
        <v>124</v>
      </c>
      <c r="F138" s="41" t="s">
        <v>125</v>
      </c>
      <c r="G138" s="42" t="s">
        <v>110</v>
      </c>
      <c r="H138" s="35">
        <v>7.5233999999999996</v>
      </c>
      <c r="I138" s="36">
        <v>7.8478000000000003</v>
      </c>
      <c r="J138" s="36">
        <v>7.9569000000000001</v>
      </c>
      <c r="K138" s="36">
        <v>7.9143999999999997</v>
      </c>
      <c r="L138" s="36">
        <v>7.8728999999999996</v>
      </c>
      <c r="M138" s="36">
        <v>7.8044000000000002</v>
      </c>
      <c r="N138" s="36">
        <v>7.8849</v>
      </c>
      <c r="O138" s="36">
        <v>7.5274000000000001</v>
      </c>
      <c r="P138" s="36">
        <v>7.4867999999999997</v>
      </c>
      <c r="Q138" s="36">
        <v>7.4550999999999998</v>
      </c>
      <c r="R138" s="36">
        <v>7.6948999999999996</v>
      </c>
      <c r="S138" s="37">
        <v>7.7248999999999999</v>
      </c>
      <c r="T138" s="35">
        <v>7.5677000000000003</v>
      </c>
      <c r="U138" s="36">
        <v>7.9204999999999997</v>
      </c>
      <c r="V138" s="36">
        <v>7.8724999999999996</v>
      </c>
      <c r="W138" s="36">
        <v>8.0238999999999994</v>
      </c>
      <c r="X138" s="36">
        <v>7.5073999999999996</v>
      </c>
      <c r="Y138" s="36">
        <v>7.7169999999999996</v>
      </c>
      <c r="Z138" s="36">
        <v>7.1574</v>
      </c>
      <c r="AA138" s="36">
        <v>7.1821999999999999</v>
      </c>
      <c r="AB138" s="36">
        <v>7.6489000000000003</v>
      </c>
      <c r="AC138" s="36">
        <v>7.7032999999999996</v>
      </c>
      <c r="AD138" s="36">
        <v>7.7786</v>
      </c>
      <c r="AE138" s="37">
        <v>7.8312999999999997</v>
      </c>
      <c r="AF138" s="35">
        <v>8.7934999999999999</v>
      </c>
      <c r="AG138" s="36">
        <v>8.0310000000000006</v>
      </c>
      <c r="AH138" s="36">
        <v>8.2119</v>
      </c>
      <c r="AI138" s="36">
        <v>8.3519000000000005</v>
      </c>
      <c r="AJ138" s="36">
        <v>8.1971000000000007</v>
      </c>
      <c r="AK138" s="36">
        <v>8.3321000000000005</v>
      </c>
      <c r="AL138" s="36">
        <v>8.4106000000000005</v>
      </c>
      <c r="AM138" s="36">
        <v>8.2971000000000004</v>
      </c>
      <c r="AN138" s="36">
        <v>8.2139000000000006</v>
      </c>
      <c r="AO138" s="36">
        <v>8.0190999999999999</v>
      </c>
      <c r="AP138" s="36">
        <v>8.1003000000000007</v>
      </c>
      <c r="AQ138" s="37">
        <v>8.0876000000000001</v>
      </c>
      <c r="AR138" s="35">
        <v>8.1763999999999992</v>
      </c>
      <c r="AS138" s="36">
        <v>8.4364000000000008</v>
      </c>
      <c r="AT138" s="36">
        <v>8.6729000000000003</v>
      </c>
      <c r="AU138" s="36">
        <v>8.6811000000000007</v>
      </c>
      <c r="AV138" s="36">
        <v>8.5350999999999999</v>
      </c>
      <c r="AW138" s="36">
        <v>8.4651999999999994</v>
      </c>
      <c r="AX138" s="36">
        <v>8.4987999999999992</v>
      </c>
      <c r="AY138" s="36">
        <v>8.5121000000000002</v>
      </c>
      <c r="AZ138" s="36">
        <v>8.5360999999999994</v>
      </c>
      <c r="BA138" s="36">
        <v>8.8690999999999995</v>
      </c>
      <c r="BB138" s="36">
        <v>8.7347000000000001</v>
      </c>
      <c r="BC138" s="37">
        <v>8.6091999999999995</v>
      </c>
      <c r="BD138" s="35">
        <v>9.4259000000000004</v>
      </c>
      <c r="BE138" s="36">
        <v>8.9656000000000002</v>
      </c>
      <c r="BF138" s="36">
        <v>7.7426000000000004</v>
      </c>
      <c r="BG138" s="36">
        <v>7.6227</v>
      </c>
      <c r="BH138" s="36">
        <v>7.3616999999999999</v>
      </c>
      <c r="BI138" s="36">
        <v>8.9802</v>
      </c>
      <c r="BJ138" s="36">
        <v>8.8856999999999999</v>
      </c>
      <c r="BK138" s="36">
        <v>8.7159999999999993</v>
      </c>
      <c r="BL138" s="36">
        <v>8.5962999999999994</v>
      </c>
      <c r="BM138" s="36">
        <v>9.4339999999999993</v>
      </c>
      <c r="BN138" s="36">
        <v>9.6386000000000003</v>
      </c>
      <c r="BO138" s="37">
        <v>9.8527000000000005</v>
      </c>
      <c r="BP138" s="35">
        <v>9.7814999999999994</v>
      </c>
      <c r="BQ138" s="36">
        <v>10.0321</v>
      </c>
      <c r="BR138" s="47">
        <v>9.3645999999999994</v>
      </c>
      <c r="BS138" s="36">
        <v>9.5860000000000003</v>
      </c>
      <c r="BT138" s="36">
        <v>8.8190000000000008</v>
      </c>
      <c r="BU138" s="36">
        <v>8.7669999999999995</v>
      </c>
      <c r="BV138" s="36">
        <v>8.3300999999999998</v>
      </c>
      <c r="BW138" s="36">
        <v>7.56</v>
      </c>
      <c r="BX138" s="36">
        <v>7.73</v>
      </c>
      <c r="BY138" s="36">
        <v>9.24</v>
      </c>
      <c r="BZ138" s="36">
        <v>9.31</v>
      </c>
      <c r="CA138" s="38">
        <v>7.59</v>
      </c>
      <c r="CB138" s="35">
        <v>7.75</v>
      </c>
      <c r="CC138" s="36">
        <v>8.3908000000000005</v>
      </c>
      <c r="CD138" s="36">
        <v>8.7596000000000007</v>
      </c>
      <c r="CE138" s="36">
        <v>8.3815000000000008</v>
      </c>
      <c r="CF138" s="36">
        <v>8.5198</v>
      </c>
      <c r="CG138" s="36">
        <v>7.1439000000000004</v>
      </c>
      <c r="CH138" s="36">
        <v>8.5043000000000006</v>
      </c>
      <c r="CI138" s="36">
        <v>7.6837999999999997</v>
      </c>
      <c r="CJ138" s="36">
        <v>7.4958999999999998</v>
      </c>
      <c r="CK138" s="36">
        <v>6.4347000000000003</v>
      </c>
      <c r="CL138" s="36"/>
      <c r="CM138" s="38"/>
      <c r="CN138" s="70"/>
      <c r="CO138" s="70"/>
      <c r="CP138" s="70"/>
      <c r="CQ138" s="70"/>
      <c r="CR138" s="70"/>
      <c r="CS138" s="70"/>
      <c r="CT138" s="70"/>
      <c r="CU138" s="70"/>
      <c r="CV138" s="70"/>
      <c r="CW138" s="70"/>
      <c r="CX138" s="70"/>
      <c r="CY138" s="70"/>
    </row>
    <row r="139" spans="1:103" ht="45" customHeight="1">
      <c r="A139" s="39">
        <v>47</v>
      </c>
      <c r="B139" s="40" t="s">
        <v>390</v>
      </c>
      <c r="C139" s="41" t="s">
        <v>391</v>
      </c>
      <c r="D139" s="41" t="s">
        <v>134</v>
      </c>
      <c r="E139" s="41" t="s">
        <v>138</v>
      </c>
      <c r="F139" s="41" t="s">
        <v>125</v>
      </c>
      <c r="G139" s="42" t="s">
        <v>110</v>
      </c>
      <c r="H139" s="35"/>
      <c r="I139" s="36"/>
      <c r="J139" s="36"/>
      <c r="K139" s="36"/>
      <c r="L139" s="36"/>
      <c r="M139" s="36"/>
      <c r="N139" s="36"/>
      <c r="O139" s="36"/>
      <c r="P139" s="36"/>
      <c r="Q139" s="36"/>
      <c r="R139" s="36"/>
      <c r="S139" s="37"/>
      <c r="T139" s="35"/>
      <c r="U139" s="36"/>
      <c r="V139" s="36"/>
      <c r="W139" s="36"/>
      <c r="X139" s="36"/>
      <c r="Y139" s="36"/>
      <c r="Z139" s="36"/>
      <c r="AA139" s="36"/>
      <c r="AB139" s="36"/>
      <c r="AC139" s="36"/>
      <c r="AD139" s="36"/>
      <c r="AE139" s="37"/>
      <c r="AF139" s="35"/>
      <c r="AG139" s="36"/>
      <c r="AH139" s="36"/>
      <c r="AI139" s="36"/>
      <c r="AJ139" s="36"/>
      <c r="AK139" s="36"/>
      <c r="AL139" s="36"/>
      <c r="AM139" s="36"/>
      <c r="AN139" s="36"/>
      <c r="AO139" s="36"/>
      <c r="AP139" s="36"/>
      <c r="AQ139" s="37"/>
      <c r="AR139" s="35"/>
      <c r="AS139" s="36"/>
      <c r="AT139" s="36"/>
      <c r="AU139" s="36"/>
      <c r="AV139" s="36"/>
      <c r="AW139" s="36"/>
      <c r="AX139" s="36"/>
      <c r="AY139" s="36"/>
      <c r="AZ139" s="36"/>
      <c r="BA139" s="36"/>
      <c r="BB139" s="36"/>
      <c r="BC139" s="37"/>
      <c r="BD139" s="35"/>
      <c r="BE139" s="36"/>
      <c r="BF139" s="36"/>
      <c r="BG139" s="36"/>
      <c r="BH139" s="36"/>
      <c r="BI139" s="36"/>
      <c r="BJ139" s="36"/>
      <c r="BK139" s="36"/>
      <c r="BL139" s="36"/>
      <c r="BM139" s="36"/>
      <c r="BN139" s="36"/>
      <c r="BO139" s="37"/>
      <c r="BP139" s="35"/>
      <c r="BQ139" s="36"/>
      <c r="BR139" s="36">
        <v>14.135300000000001</v>
      </c>
      <c r="BS139" s="36">
        <v>13.251099999999999</v>
      </c>
      <c r="BT139" s="36"/>
      <c r="BU139" s="36"/>
      <c r="BV139" s="36"/>
      <c r="BW139" s="36"/>
      <c r="BX139" s="36"/>
      <c r="BY139" s="36"/>
      <c r="BZ139" s="36"/>
      <c r="CA139" s="38"/>
      <c r="CB139" s="35"/>
      <c r="CC139" s="36"/>
      <c r="CD139" s="36"/>
      <c r="CE139" s="36"/>
      <c r="CF139" s="36"/>
      <c r="CG139" s="36"/>
      <c r="CH139" s="36"/>
      <c r="CI139" s="36"/>
      <c r="CJ139" s="36"/>
      <c r="CK139" s="36"/>
      <c r="CL139" s="36"/>
      <c r="CM139" s="38"/>
      <c r="CN139" s="36"/>
      <c r="CO139" s="36"/>
      <c r="CP139" s="36"/>
      <c r="CQ139" s="36"/>
      <c r="CR139" s="36"/>
      <c r="CS139" s="36"/>
      <c r="CT139" s="36"/>
      <c r="CU139" s="36"/>
      <c r="CV139" s="36"/>
      <c r="CW139" s="36"/>
      <c r="CX139" s="36"/>
      <c r="CY139" s="36"/>
    </row>
    <row r="140" spans="1:103" ht="45" customHeight="1">
      <c r="A140" s="39">
        <v>17</v>
      </c>
      <c r="B140" s="40" t="s">
        <v>392</v>
      </c>
      <c r="C140" s="41" t="s">
        <v>393</v>
      </c>
      <c r="D140" s="41" t="s">
        <v>107</v>
      </c>
      <c r="E140" s="41" t="s">
        <v>213</v>
      </c>
      <c r="F140" s="41" t="s">
        <v>125</v>
      </c>
      <c r="G140" s="42" t="s">
        <v>110</v>
      </c>
      <c r="H140" s="92">
        <v>11.28</v>
      </c>
      <c r="I140" s="93">
        <v>10.83</v>
      </c>
      <c r="J140" s="93">
        <v>10.63</v>
      </c>
      <c r="K140" s="93">
        <v>11.49</v>
      </c>
      <c r="L140" s="93">
        <v>10.47</v>
      </c>
      <c r="M140" s="93">
        <v>10.55</v>
      </c>
      <c r="N140" s="93">
        <v>10.44</v>
      </c>
      <c r="O140" s="93">
        <v>10.46</v>
      </c>
      <c r="P140" s="93">
        <v>10.54</v>
      </c>
      <c r="Q140" s="93">
        <v>10.25</v>
      </c>
      <c r="R140" s="93">
        <v>10.07</v>
      </c>
      <c r="S140" s="94">
        <v>10.15</v>
      </c>
      <c r="T140" s="92">
        <v>10.039999999999999</v>
      </c>
      <c r="U140" s="93">
        <v>9.8800000000000008</v>
      </c>
      <c r="V140" s="93">
        <v>9.82</v>
      </c>
      <c r="W140" s="93">
        <v>10.16</v>
      </c>
      <c r="X140" s="93">
        <v>9.84</v>
      </c>
      <c r="Y140" s="93">
        <v>10.199999999999999</v>
      </c>
      <c r="Z140" s="93">
        <v>10.11</v>
      </c>
      <c r="AA140" s="93">
        <v>9.7200000000000006</v>
      </c>
      <c r="AB140" s="93">
        <v>9.23</v>
      </c>
      <c r="AC140" s="93">
        <v>10.06</v>
      </c>
      <c r="AD140" s="93">
        <v>10.78</v>
      </c>
      <c r="AE140" s="94">
        <v>11.28</v>
      </c>
      <c r="AF140" s="92">
        <v>10.87</v>
      </c>
      <c r="AG140" s="93">
        <v>10.57</v>
      </c>
      <c r="AH140" s="93">
        <v>10.06</v>
      </c>
      <c r="AI140" s="93">
        <v>10.38</v>
      </c>
      <c r="AJ140" s="93">
        <v>10.66</v>
      </c>
      <c r="AK140" s="93">
        <v>10.72</v>
      </c>
      <c r="AL140" s="93">
        <v>10.58</v>
      </c>
      <c r="AM140" s="93">
        <v>11.42</v>
      </c>
      <c r="AN140" s="93">
        <v>11.1</v>
      </c>
      <c r="AO140" s="93">
        <v>10.98</v>
      </c>
      <c r="AP140" s="93">
        <v>11.3</v>
      </c>
      <c r="AQ140" s="94">
        <v>11.08</v>
      </c>
      <c r="AR140" s="92">
        <v>10.69</v>
      </c>
      <c r="AS140" s="93">
        <v>11.25</v>
      </c>
      <c r="AT140" s="93">
        <v>10.71</v>
      </c>
      <c r="AU140" s="93">
        <v>11.38</v>
      </c>
      <c r="AV140" s="93">
        <v>11.02</v>
      </c>
      <c r="AW140" s="93">
        <v>11.06</v>
      </c>
      <c r="AX140" s="93">
        <v>11.28</v>
      </c>
      <c r="AY140" s="93">
        <v>11.98</v>
      </c>
      <c r="AZ140" s="93">
        <v>11.75</v>
      </c>
      <c r="BA140" s="93">
        <v>12.26</v>
      </c>
      <c r="BB140" s="93">
        <v>12.5</v>
      </c>
      <c r="BC140" s="94">
        <v>12.56</v>
      </c>
      <c r="BD140" s="35">
        <v>12.69</v>
      </c>
      <c r="BE140" s="36">
        <v>12.48</v>
      </c>
      <c r="BF140" s="36">
        <v>12.47</v>
      </c>
      <c r="BG140" s="36">
        <v>12.25</v>
      </c>
      <c r="BH140" s="36">
        <v>13.15</v>
      </c>
      <c r="BI140" s="36">
        <v>13.7</v>
      </c>
      <c r="BJ140" s="36">
        <v>13.85</v>
      </c>
      <c r="BK140" s="36">
        <v>15.43</v>
      </c>
      <c r="BL140" s="36">
        <v>16.23</v>
      </c>
      <c r="BM140" s="36">
        <v>15.9</v>
      </c>
      <c r="BN140" s="36">
        <v>15.31</v>
      </c>
      <c r="BO140" s="37">
        <v>15.84</v>
      </c>
      <c r="BP140" s="35">
        <v>15.83</v>
      </c>
      <c r="BQ140" s="36">
        <v>15.83</v>
      </c>
      <c r="BR140" s="47">
        <v>15.83</v>
      </c>
      <c r="BS140" s="36">
        <v>15.98</v>
      </c>
      <c r="BT140" s="36">
        <v>13.96</v>
      </c>
      <c r="BU140" s="36">
        <f>8.89+1.09+1.39+1.85+2.02</f>
        <v>15.24</v>
      </c>
      <c r="BV140" s="36">
        <f>7.65+1.15+1.23+1.85+1.88</f>
        <v>13.760000000000002</v>
      </c>
      <c r="BW140" s="36">
        <v>14.48</v>
      </c>
      <c r="BX140" s="36">
        <v>13.34</v>
      </c>
      <c r="BY140" s="36">
        <f>6.56+0.99+1.09+1.85+1.64</f>
        <v>12.13</v>
      </c>
      <c r="BZ140" s="36">
        <f>CA140-3.28</f>
        <v>7.8899999999999988</v>
      </c>
      <c r="CA140" s="38">
        <f>6.06+1.06+1.02+1.85+1.18</f>
        <v>11.169999999999998</v>
      </c>
      <c r="CB140" s="35">
        <v>11.84</v>
      </c>
      <c r="CC140" s="36">
        <v>11.25</v>
      </c>
      <c r="CD140" s="36">
        <v>11.31</v>
      </c>
      <c r="CE140" s="36">
        <v>11.38</v>
      </c>
      <c r="CF140" s="36">
        <v>11.67</v>
      </c>
      <c r="CG140" s="36">
        <v>11.24</v>
      </c>
      <c r="CH140" s="36">
        <v>11.4307</v>
      </c>
      <c r="CI140" s="36">
        <v>11.93</v>
      </c>
      <c r="CJ140" s="36">
        <f>5.83+1.26+0.87+1.85+1.09</f>
        <v>10.9</v>
      </c>
      <c r="CK140" s="36">
        <v>10.89</v>
      </c>
      <c r="CL140" s="36">
        <v>12.12</v>
      </c>
      <c r="CM140" s="38">
        <v>11.84</v>
      </c>
      <c r="CN140" s="49">
        <v>11.54</v>
      </c>
      <c r="CO140" s="36">
        <v>10.93</v>
      </c>
      <c r="CP140" s="36"/>
      <c r="CQ140" s="36"/>
      <c r="CR140" s="36"/>
      <c r="CS140" s="36"/>
      <c r="CT140" s="36"/>
      <c r="CU140" s="36"/>
      <c r="CV140" s="36"/>
      <c r="CW140" s="36"/>
      <c r="CX140" s="36"/>
      <c r="CY140" s="36"/>
    </row>
    <row r="141" spans="1:103" ht="45" customHeight="1">
      <c r="A141" s="39">
        <v>97</v>
      </c>
      <c r="B141" s="40" t="s">
        <v>394</v>
      </c>
      <c r="C141" s="41" t="s">
        <v>395</v>
      </c>
      <c r="D141" s="41" t="s">
        <v>107</v>
      </c>
      <c r="E141" s="41" t="s">
        <v>213</v>
      </c>
      <c r="F141" s="41" t="s">
        <v>125</v>
      </c>
      <c r="G141" s="42" t="s">
        <v>110</v>
      </c>
      <c r="H141" s="35">
        <v>9.0112000000000005</v>
      </c>
      <c r="I141" s="36">
        <v>8.5870999999999995</v>
      </c>
      <c r="J141" s="36">
        <v>8.5658999999999992</v>
      </c>
      <c r="K141" s="36">
        <v>9.1766000000000005</v>
      </c>
      <c r="L141" s="36">
        <v>8.9016000000000002</v>
      </c>
      <c r="M141" s="36">
        <v>8.9620999999999995</v>
      </c>
      <c r="N141" s="36">
        <v>9.6195000000000004</v>
      </c>
      <c r="O141" s="36">
        <v>10.214</v>
      </c>
      <c r="P141" s="36">
        <v>10.041600000000001</v>
      </c>
      <c r="Q141" s="36">
        <v>9.7577999999999996</v>
      </c>
      <c r="R141" s="36">
        <v>9.4619</v>
      </c>
      <c r="S141" s="37">
        <v>9.3125</v>
      </c>
      <c r="T141" s="35">
        <v>9.1923999999999992</v>
      </c>
      <c r="U141" s="36">
        <v>9.3026999999999997</v>
      </c>
      <c r="V141" s="36">
        <v>9.4884000000000004</v>
      </c>
      <c r="W141" s="36">
        <v>9.3465000000000007</v>
      </c>
      <c r="X141" s="36">
        <v>9.0686</v>
      </c>
      <c r="Y141" s="36">
        <v>9.3196999999999992</v>
      </c>
      <c r="Z141" s="36">
        <v>9.5347000000000008</v>
      </c>
      <c r="AA141" s="36">
        <v>9.0721000000000007</v>
      </c>
      <c r="AB141" s="36">
        <v>8.8259000000000007</v>
      </c>
      <c r="AC141" s="36">
        <v>9.0523000000000007</v>
      </c>
      <c r="AD141" s="36">
        <v>8.9675999999999991</v>
      </c>
      <c r="AE141" s="37">
        <v>9.0065000000000008</v>
      </c>
      <c r="AF141" s="35">
        <v>8.9474999999999998</v>
      </c>
      <c r="AG141" s="36">
        <v>8.6760000000000002</v>
      </c>
      <c r="AH141" s="36">
        <v>8.3277000000000001</v>
      </c>
      <c r="AI141" s="36">
        <v>8.9880999999999993</v>
      </c>
      <c r="AJ141" s="36">
        <v>8.1051000000000002</v>
      </c>
      <c r="AK141" s="36">
        <v>8.1994000000000007</v>
      </c>
      <c r="AL141" s="36">
        <v>8.7836999999999996</v>
      </c>
      <c r="AM141" s="36">
        <v>9.2865000000000002</v>
      </c>
      <c r="AN141" s="36">
        <v>8.5500000000000007</v>
      </c>
      <c r="AO141" s="36">
        <v>8.4031000000000002</v>
      </c>
      <c r="AP141" s="36">
        <v>8.4200999999999997</v>
      </c>
      <c r="AQ141" s="37">
        <v>8.0315999999999992</v>
      </c>
      <c r="AR141" s="35">
        <v>8.2637</v>
      </c>
      <c r="AS141" s="36">
        <v>8.4943000000000008</v>
      </c>
      <c r="AT141" s="36">
        <v>8.4080999999999992</v>
      </c>
      <c r="AU141" s="36">
        <v>8.7949999999999999</v>
      </c>
      <c r="AV141" s="36">
        <v>8.1342999999999996</v>
      </c>
      <c r="AW141" s="36">
        <v>8.3546999999999993</v>
      </c>
      <c r="AX141" s="36">
        <v>8.6059999999999999</v>
      </c>
      <c r="AY141" s="36">
        <v>8.5572999999999997</v>
      </c>
      <c r="AZ141" s="36">
        <v>8.5375999999999994</v>
      </c>
      <c r="BA141" s="36">
        <v>9.1161999999999992</v>
      </c>
      <c r="BB141" s="36">
        <v>9.6110000000000007</v>
      </c>
      <c r="BC141" s="37">
        <v>9.8002000000000002</v>
      </c>
      <c r="BD141" s="35">
        <v>9.8514999999999997</v>
      </c>
      <c r="BE141" s="36">
        <v>9.5985999999999994</v>
      </c>
      <c r="BF141" s="36">
        <v>9.7101000000000006</v>
      </c>
      <c r="BG141" s="36">
        <v>9.8572000000000006</v>
      </c>
      <c r="BH141" s="36">
        <v>10.8217</v>
      </c>
      <c r="BI141" s="36">
        <v>9.8016000000000005</v>
      </c>
      <c r="BJ141" s="36">
        <v>9.8079000000000001</v>
      </c>
      <c r="BK141" s="36">
        <v>10.4163</v>
      </c>
      <c r="BL141" s="36">
        <v>9.9494000000000007</v>
      </c>
      <c r="BM141" s="36">
        <v>9.0995000000000008</v>
      </c>
      <c r="BN141" s="36">
        <v>9.6876999999999995</v>
      </c>
      <c r="BO141" s="37">
        <v>10.3307</v>
      </c>
      <c r="BP141" s="35">
        <v>10.096399999999999</v>
      </c>
      <c r="BQ141" s="36">
        <v>10.4762</v>
      </c>
      <c r="BR141" s="47">
        <v>10.140700000000001</v>
      </c>
      <c r="BS141" s="36">
        <v>10.3743</v>
      </c>
      <c r="BT141" s="36">
        <v>9.7068999999999992</v>
      </c>
      <c r="BU141" s="36">
        <v>9.6712000000000007</v>
      </c>
      <c r="BV141" s="36">
        <v>9.43</v>
      </c>
      <c r="BW141" s="36">
        <v>9.3817000000000004</v>
      </c>
      <c r="BX141" s="36">
        <v>9.0000999999999998</v>
      </c>
      <c r="BY141" s="36">
        <v>9.1537000000000006</v>
      </c>
      <c r="BZ141" s="36">
        <v>9.0221999999999998</v>
      </c>
      <c r="CA141" s="38">
        <v>8.9519000000000002</v>
      </c>
      <c r="CB141" s="52">
        <v>8.9656000000000002</v>
      </c>
      <c r="CC141" s="51">
        <v>9.4838000000000005</v>
      </c>
      <c r="CD141" s="45">
        <v>9.1186000000000007</v>
      </c>
      <c r="CE141" s="45">
        <v>9.4277999999999995</v>
      </c>
      <c r="CF141" s="36">
        <v>10.7575</v>
      </c>
      <c r="CG141" s="36">
        <v>8.0198</v>
      </c>
      <c r="CH141" s="45">
        <v>10.4687</v>
      </c>
      <c r="CI141" s="45">
        <v>10.9237</v>
      </c>
      <c r="CJ141" s="36">
        <v>9.4764999999999997</v>
      </c>
      <c r="CK141" s="51">
        <v>8.2517999999999994</v>
      </c>
      <c r="CL141" s="45">
        <v>9.1324000000000005</v>
      </c>
      <c r="CM141" s="50">
        <v>8.8076000000000008</v>
      </c>
      <c r="CN141" s="74">
        <v>8.5899000000000001</v>
      </c>
      <c r="CO141" s="80">
        <v>8.1867999999999999</v>
      </c>
      <c r="CP141" s="80">
        <v>8.5579000000000001</v>
      </c>
      <c r="CQ141" s="80"/>
      <c r="CR141" s="80"/>
      <c r="CS141" s="80"/>
      <c r="CT141" s="80"/>
      <c r="CU141" s="80"/>
      <c r="CV141" s="80"/>
      <c r="CW141" s="80"/>
      <c r="CX141" s="80"/>
      <c r="CY141" s="95"/>
    </row>
    <row r="142" spans="1:103" ht="45" customHeight="1">
      <c r="A142" s="39">
        <v>5</v>
      </c>
      <c r="B142" s="40" t="s">
        <v>396</v>
      </c>
      <c r="C142" s="41" t="s">
        <v>397</v>
      </c>
      <c r="D142" s="41" t="s">
        <v>107</v>
      </c>
      <c r="E142" s="41" t="s">
        <v>154</v>
      </c>
      <c r="F142" s="41" t="s">
        <v>118</v>
      </c>
      <c r="G142" s="42" t="s">
        <v>110</v>
      </c>
      <c r="H142" s="35">
        <v>7.2797000000000001</v>
      </c>
      <c r="I142" s="36">
        <v>7.2283999999999997</v>
      </c>
      <c r="J142" s="36">
        <v>7.2485999999999997</v>
      </c>
      <c r="K142" s="36">
        <v>7.2499000000000002</v>
      </c>
      <c r="L142" s="36">
        <v>7.2500999999999998</v>
      </c>
      <c r="M142" s="36">
        <v>7.2266000000000004</v>
      </c>
      <c r="N142" s="36">
        <v>7.2266000000000004</v>
      </c>
      <c r="O142" s="36">
        <v>7.2271000000000001</v>
      </c>
      <c r="P142" s="36">
        <v>7.2142999999999997</v>
      </c>
      <c r="Q142" s="36">
        <v>7.2099000000000002</v>
      </c>
      <c r="R142" s="36">
        <v>7.1837</v>
      </c>
      <c r="S142" s="37">
        <v>7.1901000000000002</v>
      </c>
      <c r="T142" s="35">
        <v>13.730399999999999</v>
      </c>
      <c r="U142" s="36">
        <v>10.591699999999999</v>
      </c>
      <c r="V142" s="36">
        <v>10.520300000000001</v>
      </c>
      <c r="W142" s="36">
        <v>10.9618</v>
      </c>
      <c r="X142" s="36">
        <v>11.2377</v>
      </c>
      <c r="Y142" s="36">
        <v>10.391999999999999</v>
      </c>
      <c r="Z142" s="36">
        <v>10.4346</v>
      </c>
      <c r="AA142" s="36">
        <v>9.8207000000000004</v>
      </c>
      <c r="AB142" s="36">
        <v>9.7597000000000005</v>
      </c>
      <c r="AC142" s="36">
        <v>8.5615000000000006</v>
      </c>
      <c r="AD142" s="36">
        <v>9.7421000000000006</v>
      </c>
      <c r="AE142" s="37">
        <v>9.8867999999999991</v>
      </c>
      <c r="AF142" s="35">
        <v>9.7723999999999993</v>
      </c>
      <c r="AG142" s="36">
        <v>9.7113999999999994</v>
      </c>
      <c r="AH142" s="36">
        <v>10.0238</v>
      </c>
      <c r="AI142" s="36">
        <v>9.9181000000000008</v>
      </c>
      <c r="AJ142" s="36">
        <v>9.9290000000000003</v>
      </c>
      <c r="AK142" s="36">
        <v>9.9511000000000003</v>
      </c>
      <c r="AL142" s="36">
        <v>9.7288999999999994</v>
      </c>
      <c r="AM142" s="36">
        <v>9.8066999999999993</v>
      </c>
      <c r="AN142" s="36">
        <v>9.7018000000000004</v>
      </c>
      <c r="AO142" s="36">
        <v>9.2677999999999994</v>
      </c>
      <c r="AP142" s="36">
        <v>9.4128000000000007</v>
      </c>
      <c r="AQ142" s="37">
        <v>8.2449999999999992</v>
      </c>
      <c r="AR142" s="35">
        <v>9.7047000000000008</v>
      </c>
      <c r="AS142" s="36">
        <v>10.2697</v>
      </c>
      <c r="AT142" s="36">
        <v>11.007400000000001</v>
      </c>
      <c r="AU142" s="36">
        <v>11.7822</v>
      </c>
      <c r="AV142" s="36">
        <v>11.605700000000001</v>
      </c>
      <c r="AW142" s="36">
        <v>11.6022</v>
      </c>
      <c r="AX142" s="36">
        <v>13.173</v>
      </c>
      <c r="AY142" s="36">
        <v>12.8139</v>
      </c>
      <c r="AZ142" s="36">
        <v>12.1693</v>
      </c>
      <c r="BA142" s="36">
        <v>11.8637</v>
      </c>
      <c r="BB142" s="36">
        <v>13.294</v>
      </c>
      <c r="BC142" s="37">
        <v>13.1296</v>
      </c>
      <c r="BD142" s="35"/>
      <c r="BE142" s="36">
        <v>17.008400000000002</v>
      </c>
      <c r="BF142" s="36">
        <v>15.295500000000001</v>
      </c>
      <c r="BG142" s="36">
        <v>15.0084</v>
      </c>
      <c r="BH142" s="36">
        <v>15.067399999999999</v>
      </c>
      <c r="BI142" s="36">
        <v>17.0107</v>
      </c>
      <c r="BJ142" s="36">
        <v>19.007200000000001</v>
      </c>
      <c r="BK142" s="36">
        <v>18.8645</v>
      </c>
      <c r="BL142" s="36">
        <v>19.553599999999999</v>
      </c>
      <c r="BM142" s="36">
        <v>19.761099999999999</v>
      </c>
      <c r="BN142" s="36">
        <v>19.5504</v>
      </c>
      <c r="BO142" s="37">
        <v>17.986499999999999</v>
      </c>
      <c r="BP142" s="35">
        <v>16.191099999999999</v>
      </c>
      <c r="BQ142" s="36">
        <v>16.903700000000001</v>
      </c>
      <c r="BR142" s="47">
        <v>15.836600000000001</v>
      </c>
      <c r="BS142" s="36">
        <v>14.610300000000001</v>
      </c>
      <c r="BT142" s="36">
        <v>14.2393</v>
      </c>
      <c r="BU142" s="36">
        <f>14.2116-1.6363</f>
        <v>12.5753</v>
      </c>
      <c r="BV142" s="36">
        <f>13.6672-1.5755</f>
        <v>12.091699999999999</v>
      </c>
      <c r="BW142" s="36">
        <f>12.5834-1.4988</f>
        <v>11.0846</v>
      </c>
      <c r="BX142" s="36">
        <v>12.467599999999999</v>
      </c>
      <c r="BY142" s="36">
        <v>12.986599999999999</v>
      </c>
      <c r="BZ142" s="36">
        <v>13.8568</v>
      </c>
      <c r="CA142" s="38">
        <v>12.086499999999999</v>
      </c>
      <c r="CB142" s="48">
        <v>9.3658000000000001</v>
      </c>
      <c r="CC142" s="44">
        <v>11.8956</v>
      </c>
      <c r="CD142" s="44">
        <v>11.3667</v>
      </c>
      <c r="CE142" s="45">
        <v>11.210699999999999</v>
      </c>
      <c r="CF142" s="44">
        <v>11.9373</v>
      </c>
      <c r="CG142" s="45">
        <v>14.586399999999999</v>
      </c>
      <c r="CH142" s="45">
        <v>13.4689</v>
      </c>
      <c r="CI142" s="49">
        <v>13.1456</v>
      </c>
      <c r="CJ142" s="45">
        <v>14.088100000000001</v>
      </c>
      <c r="CK142" s="45">
        <v>13.478400000000001</v>
      </c>
      <c r="CL142" s="45">
        <v>14.651400000000001</v>
      </c>
      <c r="CM142" s="50">
        <v>12.660399999999999</v>
      </c>
      <c r="CN142" s="49">
        <v>12.2126</v>
      </c>
      <c r="CO142" s="45">
        <v>15.547800000000001</v>
      </c>
      <c r="CP142" s="45">
        <v>14.163399999999999</v>
      </c>
      <c r="CQ142" s="45"/>
      <c r="CR142" s="45"/>
      <c r="CS142" s="45"/>
      <c r="CT142" s="45"/>
      <c r="CU142" s="45"/>
      <c r="CV142" s="45"/>
      <c r="CW142" s="45"/>
      <c r="CX142" s="45"/>
      <c r="CY142" s="45"/>
    </row>
    <row r="143" spans="1:103" ht="45" customHeight="1">
      <c r="A143" s="39">
        <v>28</v>
      </c>
      <c r="B143" s="40" t="s">
        <v>398</v>
      </c>
      <c r="C143" s="41" t="s">
        <v>399</v>
      </c>
      <c r="D143" s="41" t="s">
        <v>107</v>
      </c>
      <c r="E143" s="41" t="s">
        <v>121</v>
      </c>
      <c r="F143" s="41" t="s">
        <v>109</v>
      </c>
      <c r="G143" s="42" t="s">
        <v>110</v>
      </c>
      <c r="H143" s="35">
        <v>7.9329999999999998</v>
      </c>
      <c r="I143" s="36">
        <v>8.2527000000000008</v>
      </c>
      <c r="J143" s="36">
        <v>9.5298999999999996</v>
      </c>
      <c r="K143" s="36">
        <v>10.254200000000001</v>
      </c>
      <c r="L143" s="36">
        <v>9.2574000000000005</v>
      </c>
      <c r="M143" s="36">
        <v>9.0899000000000001</v>
      </c>
      <c r="N143" s="36">
        <v>9.2798999999999996</v>
      </c>
      <c r="O143" s="36">
        <v>9.0668000000000006</v>
      </c>
      <c r="P143" s="36">
        <v>8.5361999999999991</v>
      </c>
      <c r="Q143" s="36">
        <v>9.0238999999999994</v>
      </c>
      <c r="R143" s="36">
        <v>8.8952000000000009</v>
      </c>
      <c r="S143" s="37">
        <v>8.8766999999999996</v>
      </c>
      <c r="T143" s="35">
        <v>8.6856000000000009</v>
      </c>
      <c r="U143" s="36">
        <v>9.3473000000000006</v>
      </c>
      <c r="V143" s="36">
        <v>9.1096000000000004</v>
      </c>
      <c r="W143" s="36">
        <v>9.8942999999999994</v>
      </c>
      <c r="X143" s="36">
        <v>11.146000000000001</v>
      </c>
      <c r="Y143" s="36">
        <v>10.564399999999999</v>
      </c>
      <c r="Z143" s="36">
        <v>11.498200000000001</v>
      </c>
      <c r="AA143" s="36">
        <v>9.1217000000000006</v>
      </c>
      <c r="AB143" s="36">
        <v>8.2196999999999996</v>
      </c>
      <c r="AC143" s="36">
        <v>7.5945</v>
      </c>
      <c r="AD143" s="36">
        <v>8.8931000000000004</v>
      </c>
      <c r="AE143" s="37">
        <v>9.3185000000000002</v>
      </c>
      <c r="AF143" s="35">
        <v>9.9064999999999994</v>
      </c>
      <c r="AG143" s="36">
        <v>8.8452999999999999</v>
      </c>
      <c r="AH143" s="36">
        <v>8.6083999999999996</v>
      </c>
      <c r="AI143" s="36">
        <v>7.7286000000000001</v>
      </c>
      <c r="AJ143" s="36">
        <v>7.3319999999999999</v>
      </c>
      <c r="AK143" s="36">
        <v>7.3419999999999996</v>
      </c>
      <c r="AL143" s="36">
        <v>7.8853999999999997</v>
      </c>
      <c r="AM143" s="36">
        <v>7.1276999999999999</v>
      </c>
      <c r="AN143" s="36">
        <v>6.8296999999999999</v>
      </c>
      <c r="AO143" s="36">
        <v>8.5643999999999991</v>
      </c>
      <c r="AP143" s="36">
        <v>7.1142000000000003</v>
      </c>
      <c r="AQ143" s="37">
        <v>7.6515000000000004</v>
      </c>
      <c r="AR143" s="35">
        <v>7.9169</v>
      </c>
      <c r="AS143" s="36">
        <v>8.7691999999999997</v>
      </c>
      <c r="AT143" s="36">
        <v>8.5802999999999994</v>
      </c>
      <c r="AU143" s="36">
        <v>9.9001000000000001</v>
      </c>
      <c r="AV143" s="36">
        <v>9.4840999999999998</v>
      </c>
      <c r="AW143" s="36">
        <v>12.399900000000001</v>
      </c>
      <c r="AX143" s="36">
        <v>11.0489</v>
      </c>
      <c r="AY143" s="36">
        <v>11.029500000000001</v>
      </c>
      <c r="AZ143" s="36">
        <v>8.0658999999999992</v>
      </c>
      <c r="BA143" s="36">
        <v>8.4901</v>
      </c>
      <c r="BB143" s="36">
        <v>11.4314</v>
      </c>
      <c r="BC143" s="37">
        <v>10.7439</v>
      </c>
      <c r="BD143" s="35">
        <v>12.2193</v>
      </c>
      <c r="BE143" s="36">
        <v>13.0145</v>
      </c>
      <c r="BF143" s="36">
        <v>11.4122</v>
      </c>
      <c r="BG143" s="36">
        <v>12.1433</v>
      </c>
      <c r="BH143" s="36">
        <v>11.631600000000001</v>
      </c>
      <c r="BI143" s="36">
        <v>12.5611</v>
      </c>
      <c r="BJ143" s="36">
        <v>14.655200000000001</v>
      </c>
      <c r="BK143" s="36">
        <v>15.9412</v>
      </c>
      <c r="BL143" s="36">
        <v>14.4114</v>
      </c>
      <c r="BM143" s="36">
        <v>16.301200000000001</v>
      </c>
      <c r="BN143" s="36">
        <v>16.616099999999999</v>
      </c>
      <c r="BO143" s="37">
        <v>16.3003</v>
      </c>
      <c r="BP143" s="35">
        <v>14.205299999999999</v>
      </c>
      <c r="BQ143" s="36">
        <v>13.379</v>
      </c>
      <c r="BR143" s="47">
        <v>14.182700000000001</v>
      </c>
      <c r="BS143" s="36">
        <v>12.891</v>
      </c>
      <c r="BT143" s="36">
        <v>12.6227</v>
      </c>
      <c r="BU143" s="36">
        <v>14.426600000000001</v>
      </c>
      <c r="BV143" s="36">
        <v>12.6737</v>
      </c>
      <c r="BW143" s="36">
        <v>12.1973</v>
      </c>
      <c r="BX143" s="36">
        <v>10.957000000000001</v>
      </c>
      <c r="BY143" s="36">
        <v>10.051600000000001</v>
      </c>
      <c r="BZ143" s="36">
        <v>11.2753</v>
      </c>
      <c r="CA143" s="38">
        <v>10.888199999999999</v>
      </c>
      <c r="CB143" s="52">
        <v>10.997199999999999</v>
      </c>
      <c r="CC143" s="45">
        <v>12.168200000000001</v>
      </c>
      <c r="CD143" s="45">
        <v>10.8546</v>
      </c>
      <c r="CE143" s="45"/>
      <c r="CF143" s="36">
        <v>12.526300000000001</v>
      </c>
      <c r="CG143" s="36">
        <v>9.3597999999999999</v>
      </c>
      <c r="CH143" s="45">
        <v>11.231400000000001</v>
      </c>
      <c r="CI143" s="45">
        <v>13.8203</v>
      </c>
      <c r="CJ143" s="36">
        <v>14.6508</v>
      </c>
      <c r="CK143" s="45">
        <v>11.1958</v>
      </c>
      <c r="CL143" s="45">
        <v>12.1035</v>
      </c>
      <c r="CM143" s="50">
        <v>11.892799999999999</v>
      </c>
      <c r="CN143" s="70">
        <v>11.4023</v>
      </c>
      <c r="CO143" s="53"/>
      <c r="CP143" s="53"/>
      <c r="CQ143" s="53"/>
      <c r="CR143" s="53"/>
      <c r="CS143" s="53"/>
      <c r="CT143" s="53"/>
      <c r="CU143" s="53"/>
      <c r="CV143" s="53"/>
      <c r="CW143" s="53"/>
      <c r="CX143" s="53"/>
      <c r="CY143" s="53"/>
    </row>
    <row r="144" spans="1:103" ht="45" customHeight="1">
      <c r="A144" s="39">
        <v>90</v>
      </c>
      <c r="B144" s="40" t="s">
        <v>400</v>
      </c>
      <c r="C144" s="41" t="s">
        <v>401</v>
      </c>
      <c r="D144" s="41" t="s">
        <v>107</v>
      </c>
      <c r="E144" s="41" t="s">
        <v>121</v>
      </c>
      <c r="F144" s="41" t="s">
        <v>109</v>
      </c>
      <c r="G144" s="42" t="s">
        <v>110</v>
      </c>
      <c r="H144" s="35"/>
      <c r="I144" s="36"/>
      <c r="J144" s="36"/>
      <c r="K144" s="36"/>
      <c r="L144" s="36"/>
      <c r="M144" s="36"/>
      <c r="N144" s="36"/>
      <c r="O144" s="36"/>
      <c r="P144" s="36"/>
      <c r="Q144" s="36"/>
      <c r="R144" s="36"/>
      <c r="S144" s="37"/>
      <c r="T144" s="35"/>
      <c r="U144" s="36"/>
      <c r="V144" s="36"/>
      <c r="W144" s="36"/>
      <c r="X144" s="36"/>
      <c r="Y144" s="36"/>
      <c r="Z144" s="36"/>
      <c r="AA144" s="36"/>
      <c r="AB144" s="36"/>
      <c r="AC144" s="36"/>
      <c r="AD144" s="36"/>
      <c r="AE144" s="37"/>
      <c r="AF144" s="35"/>
      <c r="AG144" s="36"/>
      <c r="AH144" s="36"/>
      <c r="AI144" s="36"/>
      <c r="AJ144" s="36"/>
      <c r="AK144" s="36"/>
      <c r="AL144" s="36"/>
      <c r="AM144" s="36"/>
      <c r="AN144" s="36"/>
      <c r="AO144" s="36"/>
      <c r="AP144" s="36"/>
      <c r="AQ144" s="37"/>
      <c r="AR144" s="35"/>
      <c r="AS144" s="36"/>
      <c r="AT144" s="36"/>
      <c r="AU144" s="36"/>
      <c r="AV144" s="36"/>
      <c r="AW144" s="36"/>
      <c r="AX144" s="36"/>
      <c r="AY144" s="36"/>
      <c r="AZ144" s="36"/>
      <c r="BA144" s="36"/>
      <c r="BB144" s="36"/>
      <c r="BC144" s="37"/>
      <c r="BD144" s="35">
        <v>12.777699999999999</v>
      </c>
      <c r="BE144" s="36">
        <v>12.872299999999999</v>
      </c>
      <c r="BF144" s="36">
        <v>11.988899999999999</v>
      </c>
      <c r="BG144" s="36">
        <v>12.769399999999999</v>
      </c>
      <c r="BH144" s="36">
        <v>12.525600000000001</v>
      </c>
      <c r="BI144" s="36">
        <v>13.154299999999999</v>
      </c>
      <c r="BJ144" s="36">
        <v>14.4978</v>
      </c>
      <c r="BK144" s="36">
        <v>15.892099999999999</v>
      </c>
      <c r="BL144" s="36">
        <v>17.089600000000001</v>
      </c>
      <c r="BM144" s="36">
        <v>18.717600000000001</v>
      </c>
      <c r="BN144" s="36">
        <v>19.005600000000001</v>
      </c>
      <c r="BO144" s="37">
        <v>18.597300000000001</v>
      </c>
      <c r="BP144" s="35">
        <v>17.225999999999999</v>
      </c>
      <c r="BQ144" s="36">
        <v>15.3428</v>
      </c>
      <c r="BR144" s="47">
        <v>10.7203</v>
      </c>
      <c r="BS144" s="36">
        <v>14.7407</v>
      </c>
      <c r="BT144" s="36">
        <v>12.438499999999999</v>
      </c>
      <c r="BU144" s="36">
        <v>12.2128</v>
      </c>
      <c r="BV144" s="36">
        <v>10.774900000000001</v>
      </c>
      <c r="BW144" s="36">
        <v>10.227499999999999</v>
      </c>
      <c r="BX144" s="36">
        <v>10.2643</v>
      </c>
      <c r="BY144" s="36">
        <f>11.6304-1.7191</f>
        <v>9.9113000000000007</v>
      </c>
      <c r="BZ144" s="36">
        <v>13.0281</v>
      </c>
      <c r="CA144" s="38">
        <v>9.3412000000000006</v>
      </c>
      <c r="CB144" s="63">
        <v>8.6671999999999993</v>
      </c>
      <c r="CC144" s="45">
        <v>8.5397999999999996</v>
      </c>
      <c r="CD144" s="45">
        <v>9.3646999999999991</v>
      </c>
      <c r="CE144" s="36">
        <v>10.6557</v>
      </c>
      <c r="CF144" s="36">
        <v>13.036</v>
      </c>
      <c r="CG144" s="36">
        <v>7.8544</v>
      </c>
      <c r="CH144" s="36">
        <v>12.168699999999999</v>
      </c>
      <c r="CI144" s="36">
        <v>12.6639</v>
      </c>
      <c r="CJ144" s="36">
        <v>14.924899999999999</v>
      </c>
      <c r="CK144" s="36">
        <v>11.391400000000001</v>
      </c>
      <c r="CL144" s="36">
        <v>11.4176</v>
      </c>
      <c r="CM144" s="38">
        <v>11.363899999999999</v>
      </c>
      <c r="CN144" s="36">
        <v>10.777100000000001</v>
      </c>
      <c r="CO144" s="36">
        <v>10.5161</v>
      </c>
      <c r="CP144" s="36">
        <v>10.6173</v>
      </c>
      <c r="CQ144" s="36"/>
      <c r="CR144" s="36"/>
      <c r="CS144" s="36"/>
      <c r="CT144" s="36"/>
      <c r="CU144" s="36"/>
      <c r="CV144" s="36"/>
      <c r="CW144" s="36"/>
      <c r="CX144" s="36"/>
      <c r="CY144" s="36"/>
    </row>
    <row r="145" spans="1:103" ht="45" customHeight="1">
      <c r="A145" s="39">
        <v>136</v>
      </c>
      <c r="B145" s="40" t="s">
        <v>402</v>
      </c>
      <c r="C145" s="41" t="s">
        <v>403</v>
      </c>
      <c r="D145" s="41" t="s">
        <v>107</v>
      </c>
      <c r="E145" s="41" t="s">
        <v>213</v>
      </c>
      <c r="F145" s="41" t="s">
        <v>125</v>
      </c>
      <c r="G145" s="42" t="s">
        <v>110</v>
      </c>
      <c r="H145" s="35">
        <v>10.218299999999999</v>
      </c>
      <c r="I145" s="36">
        <v>9.7843999999999998</v>
      </c>
      <c r="J145" s="36">
        <v>9.9097000000000008</v>
      </c>
      <c r="K145" s="36">
        <v>10.849299999999999</v>
      </c>
      <c r="L145" s="36">
        <v>10.585100000000001</v>
      </c>
      <c r="M145" s="36">
        <v>10.2096</v>
      </c>
      <c r="N145" s="36">
        <v>10.6647</v>
      </c>
      <c r="O145" s="36">
        <v>10.89</v>
      </c>
      <c r="P145" s="36">
        <v>10.3537</v>
      </c>
      <c r="Q145" s="36">
        <v>10.3635</v>
      </c>
      <c r="R145" s="36">
        <v>10.1632</v>
      </c>
      <c r="S145" s="37">
        <v>9.8561999999999994</v>
      </c>
      <c r="T145" s="35">
        <v>9.7487999999999992</v>
      </c>
      <c r="U145" s="36">
        <v>9.6080000000000005</v>
      </c>
      <c r="V145" s="36">
        <v>9.6682000000000006</v>
      </c>
      <c r="W145" s="36">
        <v>9.8079999999999998</v>
      </c>
      <c r="X145" s="36">
        <v>9.6508000000000003</v>
      </c>
      <c r="Y145" s="36">
        <v>9.9426000000000005</v>
      </c>
      <c r="Z145" s="36">
        <v>9.7538999999999998</v>
      </c>
      <c r="AA145" s="36">
        <v>8.2027000000000001</v>
      </c>
      <c r="AB145" s="36">
        <v>9.4467999999999996</v>
      </c>
      <c r="AC145" s="36">
        <v>9.5639000000000003</v>
      </c>
      <c r="AD145" s="36">
        <v>9.3477999999999994</v>
      </c>
      <c r="AE145" s="37">
        <v>9.5225000000000009</v>
      </c>
      <c r="AF145" s="35">
        <v>9.4632000000000005</v>
      </c>
      <c r="AG145" s="36">
        <v>9.891</v>
      </c>
      <c r="AH145" s="36">
        <v>9.6675000000000004</v>
      </c>
      <c r="AI145" s="36">
        <v>9.8394999999999992</v>
      </c>
      <c r="AJ145" s="36">
        <v>9.2423999999999999</v>
      </c>
      <c r="AK145" s="36">
        <v>10.217499999999999</v>
      </c>
      <c r="AL145" s="36">
        <v>10.0974</v>
      </c>
      <c r="AM145" s="36">
        <v>11.1898</v>
      </c>
      <c r="AN145" s="36">
        <v>10.733599999999999</v>
      </c>
      <c r="AO145" s="36">
        <v>10.3104</v>
      </c>
      <c r="AP145" s="36">
        <v>10.6584</v>
      </c>
      <c r="AQ145" s="37">
        <v>10.138500000000001</v>
      </c>
      <c r="AR145" s="35">
        <v>10.1648</v>
      </c>
      <c r="AS145" s="36">
        <v>9.9289000000000005</v>
      </c>
      <c r="AT145" s="36">
        <v>10.228</v>
      </c>
      <c r="AU145" s="36">
        <v>10.616400000000001</v>
      </c>
      <c r="AV145" s="36">
        <v>9.8431999999999995</v>
      </c>
      <c r="AW145" s="36">
        <v>9.8887</v>
      </c>
      <c r="AX145" s="36">
        <v>10.228199999999999</v>
      </c>
      <c r="AY145" s="36">
        <v>11.269</v>
      </c>
      <c r="AZ145" s="36">
        <v>10.8819</v>
      </c>
      <c r="BA145" s="36">
        <v>11.264699999999999</v>
      </c>
      <c r="BB145" s="36">
        <v>11.0474</v>
      </c>
      <c r="BC145" s="37">
        <v>11.135999999999999</v>
      </c>
      <c r="BD145" s="35">
        <v>11.248100000000001</v>
      </c>
      <c r="BE145" s="36">
        <v>11.3283</v>
      </c>
      <c r="BF145" s="36">
        <v>12.055400000000001</v>
      </c>
      <c r="BG145" s="36">
        <v>11.960800000000001</v>
      </c>
      <c r="BH145" s="36">
        <v>11.997</v>
      </c>
      <c r="BI145" s="36">
        <v>12.696199999999999</v>
      </c>
      <c r="BJ145" s="36">
        <v>14.1836</v>
      </c>
      <c r="BK145" s="36">
        <v>14.9648</v>
      </c>
      <c r="BL145" s="36">
        <v>13.520200000000001</v>
      </c>
      <c r="BM145" s="36">
        <v>11.007099999999999</v>
      </c>
      <c r="BN145" s="36">
        <v>12.4564</v>
      </c>
      <c r="BO145" s="37">
        <v>13.198</v>
      </c>
      <c r="BP145" s="35">
        <v>13.281499999999999</v>
      </c>
      <c r="BQ145" s="36">
        <v>12.032</v>
      </c>
      <c r="BR145" s="36">
        <v>12.5252</v>
      </c>
      <c r="BS145" s="36">
        <v>12.366199999999999</v>
      </c>
      <c r="BT145" s="36">
        <v>11.7682</v>
      </c>
      <c r="BU145" s="36">
        <v>10.9299</v>
      </c>
      <c r="BV145" s="36">
        <v>11.031700000000001</v>
      </c>
      <c r="BW145" s="36">
        <v>10.805</v>
      </c>
      <c r="BX145" s="36">
        <v>10.2651</v>
      </c>
      <c r="BY145" s="36">
        <v>9.2659000000000002</v>
      </c>
      <c r="BZ145" s="36">
        <v>9.6979000000000006</v>
      </c>
      <c r="CA145" s="38">
        <v>9.7903000000000002</v>
      </c>
      <c r="CB145" s="52">
        <v>9.6748999999999992</v>
      </c>
      <c r="CC145" s="51">
        <v>10.125299999999999</v>
      </c>
      <c r="CD145" s="45">
        <v>10.414300000000001</v>
      </c>
      <c r="CE145" s="45">
        <v>9.6724999999999994</v>
      </c>
      <c r="CF145" s="44">
        <v>6.8517999999999999</v>
      </c>
      <c r="CG145" s="45">
        <v>9.8930000000000007</v>
      </c>
      <c r="CH145" s="45">
        <v>10.6203</v>
      </c>
      <c r="CI145" s="45">
        <v>10.4351</v>
      </c>
      <c r="CJ145" s="36">
        <v>9.6249000000000002</v>
      </c>
      <c r="CK145" s="51">
        <v>9.5363000000000007</v>
      </c>
      <c r="CL145" s="51">
        <v>9.5364000000000004</v>
      </c>
      <c r="CM145" s="55">
        <v>9.7012999999999998</v>
      </c>
      <c r="CN145" s="96">
        <v>9.6727000000000007</v>
      </c>
      <c r="CO145" s="97">
        <v>10.1074</v>
      </c>
      <c r="CP145" s="97">
        <v>10.4358</v>
      </c>
      <c r="CQ145" s="97"/>
      <c r="CR145" s="97"/>
      <c r="CS145" s="97"/>
      <c r="CT145" s="97"/>
      <c r="CU145" s="97"/>
      <c r="CV145" s="97"/>
      <c r="CW145" s="97"/>
      <c r="CX145" s="97"/>
      <c r="CY145" s="98"/>
    </row>
    <row r="146" spans="1:103" ht="45" customHeight="1">
      <c r="A146" s="39">
        <v>21</v>
      </c>
      <c r="B146" s="40" t="s">
        <v>404</v>
      </c>
      <c r="C146" s="41" t="s">
        <v>405</v>
      </c>
      <c r="D146" s="41" t="s">
        <v>134</v>
      </c>
      <c r="E146" s="41" t="s">
        <v>138</v>
      </c>
      <c r="F146" s="41" t="s">
        <v>125</v>
      </c>
      <c r="G146" s="42" t="s">
        <v>110</v>
      </c>
      <c r="H146" s="35"/>
      <c r="I146" s="36"/>
      <c r="J146" s="36"/>
      <c r="K146" s="36"/>
      <c r="L146" s="36"/>
      <c r="M146" s="36"/>
      <c r="N146" s="36"/>
      <c r="O146" s="36"/>
      <c r="P146" s="36"/>
      <c r="Q146" s="36"/>
      <c r="R146" s="36"/>
      <c r="S146" s="37"/>
      <c r="T146" s="35"/>
      <c r="U146" s="36"/>
      <c r="V146" s="36"/>
      <c r="W146" s="36"/>
      <c r="X146" s="36"/>
      <c r="Y146" s="36"/>
      <c r="Z146" s="36"/>
      <c r="AA146" s="36"/>
      <c r="AB146" s="36"/>
      <c r="AC146" s="36"/>
      <c r="AD146" s="36"/>
      <c r="AE146" s="37"/>
      <c r="AF146" s="35"/>
      <c r="AG146" s="36"/>
      <c r="AH146" s="36"/>
      <c r="AI146" s="36"/>
      <c r="AJ146" s="36"/>
      <c r="AK146" s="36"/>
      <c r="AL146" s="36"/>
      <c r="AM146" s="36"/>
      <c r="AN146" s="36"/>
      <c r="AO146" s="36"/>
      <c r="AP146" s="36"/>
      <c r="AQ146" s="37"/>
      <c r="AR146" s="35"/>
      <c r="AS146" s="36"/>
      <c r="AT146" s="36"/>
      <c r="AU146" s="36"/>
      <c r="AV146" s="36"/>
      <c r="AW146" s="36"/>
      <c r="AX146" s="36"/>
      <c r="AY146" s="36"/>
      <c r="AZ146" s="36"/>
      <c r="BA146" s="36"/>
      <c r="BB146" s="36"/>
      <c r="BC146" s="37"/>
      <c r="BD146" s="35"/>
      <c r="BE146" s="36"/>
      <c r="BF146" s="36"/>
      <c r="BG146" s="36"/>
      <c r="BH146" s="36"/>
      <c r="BI146" s="36"/>
      <c r="BJ146" s="36"/>
      <c r="BK146" s="36"/>
      <c r="BL146" s="36"/>
      <c r="BM146" s="36"/>
      <c r="BN146" s="36"/>
      <c r="BO146" s="37"/>
      <c r="BP146" s="35"/>
      <c r="BQ146" s="36"/>
      <c r="BR146" s="36">
        <v>15.6485</v>
      </c>
      <c r="BS146" s="36">
        <v>15.3141</v>
      </c>
      <c r="BT146" s="36">
        <v>15.257999999999999</v>
      </c>
      <c r="BU146" s="36"/>
      <c r="BV146" s="36"/>
      <c r="BW146" s="36"/>
      <c r="BX146" s="36"/>
      <c r="BY146" s="36"/>
      <c r="BZ146" s="36"/>
      <c r="CA146" s="38"/>
      <c r="CB146" s="35"/>
      <c r="CC146" s="36"/>
      <c r="CD146" s="36"/>
      <c r="CE146" s="36"/>
      <c r="CF146" s="36"/>
      <c r="CG146" s="36"/>
      <c r="CH146" s="36"/>
      <c r="CI146" s="36"/>
      <c r="CJ146" s="36"/>
      <c r="CK146" s="36"/>
      <c r="CL146" s="36"/>
      <c r="CM146" s="38"/>
      <c r="CN146" s="35"/>
      <c r="CO146" s="36"/>
      <c r="CP146" s="36"/>
      <c r="CQ146" s="36"/>
      <c r="CR146" s="36"/>
      <c r="CS146" s="36"/>
      <c r="CT146" s="36"/>
      <c r="CU146" s="36"/>
      <c r="CV146" s="36"/>
      <c r="CW146" s="36"/>
      <c r="CX146" s="36"/>
      <c r="CY146" s="37"/>
    </row>
    <row r="147" spans="1:103" ht="45" customHeight="1">
      <c r="A147" s="39">
        <v>1</v>
      </c>
      <c r="B147" s="40" t="s">
        <v>406</v>
      </c>
      <c r="C147" s="41" t="s">
        <v>407</v>
      </c>
      <c r="D147" s="41" t="s">
        <v>107</v>
      </c>
      <c r="E147" s="41" t="s">
        <v>124</v>
      </c>
      <c r="F147" s="41" t="s">
        <v>125</v>
      </c>
      <c r="G147" s="42" t="s">
        <v>110</v>
      </c>
      <c r="H147" s="35">
        <v>7.2797000000000001</v>
      </c>
      <c r="I147" s="36">
        <v>7.2283999999999997</v>
      </c>
      <c r="J147" s="36">
        <v>7.2499000000000002</v>
      </c>
      <c r="K147" s="36">
        <v>7.2485999999999997</v>
      </c>
      <c r="L147" s="36">
        <v>7.2499000000000002</v>
      </c>
      <c r="M147" s="36">
        <v>7.2500999999999998</v>
      </c>
      <c r="N147" s="36">
        <v>7.2266000000000004</v>
      </c>
      <c r="O147" s="36">
        <v>7.2271000000000001</v>
      </c>
      <c r="P147" s="36">
        <v>7.2142999999999997</v>
      </c>
      <c r="Q147" s="36">
        <v>7.2099000000000002</v>
      </c>
      <c r="R147" s="36">
        <v>7.1837</v>
      </c>
      <c r="S147" s="37">
        <v>7.1901000000000002</v>
      </c>
      <c r="T147" s="35">
        <v>10.3863</v>
      </c>
      <c r="U147" s="36">
        <v>11.082599999999999</v>
      </c>
      <c r="V147" s="36">
        <v>11.260999999999999</v>
      </c>
      <c r="W147" s="36">
        <v>10.9335</v>
      </c>
      <c r="X147" s="36">
        <v>10.468400000000001</v>
      </c>
      <c r="Y147" s="36">
        <v>10.2182</v>
      </c>
      <c r="Z147" s="36">
        <v>9.8493999999999993</v>
      </c>
      <c r="AA147" s="36">
        <v>9.8051999999999992</v>
      </c>
      <c r="AB147" s="36">
        <v>9.9454999999999991</v>
      </c>
      <c r="AC147" s="36">
        <v>9.6973000000000003</v>
      </c>
      <c r="AD147" s="36">
        <v>9.7974999999999994</v>
      </c>
      <c r="AE147" s="37">
        <v>10.1142</v>
      </c>
      <c r="AF147" s="35">
        <v>10.000500000000001</v>
      </c>
      <c r="AG147" s="36">
        <v>10.911300000000001</v>
      </c>
      <c r="AH147" s="36">
        <v>11.236700000000001</v>
      </c>
      <c r="AI147" s="36">
        <v>11.6762</v>
      </c>
      <c r="AJ147" s="36">
        <v>10.290800000000001</v>
      </c>
      <c r="AK147" s="36">
        <v>10.6502</v>
      </c>
      <c r="AL147" s="36">
        <v>10.7729</v>
      </c>
      <c r="AM147" s="36">
        <v>11.368</v>
      </c>
      <c r="AN147" s="36">
        <v>11.0725</v>
      </c>
      <c r="AO147" s="36">
        <v>10.6892</v>
      </c>
      <c r="AP147" s="36">
        <v>11.369300000000001</v>
      </c>
      <c r="AQ147" s="37">
        <v>11.1632</v>
      </c>
      <c r="AR147" s="35">
        <v>11.141400000000001</v>
      </c>
      <c r="AS147" s="36">
        <v>12.126200000000001</v>
      </c>
      <c r="AT147" s="36">
        <v>12.633599999999999</v>
      </c>
      <c r="AU147" s="36">
        <v>12.5326</v>
      </c>
      <c r="AV147" s="36">
        <v>11.737500000000001</v>
      </c>
      <c r="AW147" s="36">
        <v>11.5755</v>
      </c>
      <c r="AX147" s="36">
        <v>11.5937</v>
      </c>
      <c r="AY147" s="36">
        <v>12.4894</v>
      </c>
      <c r="AZ147" s="36">
        <v>12.338900000000001</v>
      </c>
      <c r="BA147" s="36">
        <v>13.236800000000001</v>
      </c>
      <c r="BB147" s="36">
        <v>13.4528</v>
      </c>
      <c r="BC147" s="37">
        <v>13.940300000000001</v>
      </c>
      <c r="BD147" s="35">
        <v>13.940300000000001</v>
      </c>
      <c r="BE147" s="36">
        <v>14.8681</v>
      </c>
      <c r="BF147" s="36">
        <v>16.346399999999999</v>
      </c>
      <c r="BG147" s="36">
        <v>16.525700000000001</v>
      </c>
      <c r="BH147" s="36">
        <v>16.678999999999998</v>
      </c>
      <c r="BI147" s="36">
        <v>16.893699999999999</v>
      </c>
      <c r="BJ147" s="36">
        <v>18.6693</v>
      </c>
      <c r="BK147" s="36">
        <v>18.7483</v>
      </c>
      <c r="BL147" s="36">
        <v>18.061800000000002</v>
      </c>
      <c r="BM147" s="36">
        <v>17.775600000000001</v>
      </c>
      <c r="BN147" s="36">
        <v>17.990500000000001</v>
      </c>
      <c r="BO147" s="37">
        <v>18.246200000000002</v>
      </c>
      <c r="BP147" s="35">
        <v>16.637799999999999</v>
      </c>
      <c r="BQ147" s="36">
        <v>16.141300000000001</v>
      </c>
      <c r="BR147" s="47">
        <v>15.773899999999999</v>
      </c>
      <c r="BS147" s="36">
        <v>16.438600000000001</v>
      </c>
      <c r="BT147" s="36">
        <v>14.8269</v>
      </c>
      <c r="BU147" s="36">
        <v>13.853</v>
      </c>
      <c r="BV147" s="36">
        <v>14.4521</v>
      </c>
      <c r="BW147" s="36">
        <v>10.246700000000001</v>
      </c>
      <c r="BX147" s="36">
        <v>12.141400000000001</v>
      </c>
      <c r="BY147" s="36">
        <v>12.139699999999999</v>
      </c>
      <c r="BZ147" s="36">
        <v>12.589399999999999</v>
      </c>
      <c r="CA147" s="38">
        <v>11.8917</v>
      </c>
      <c r="CB147" s="52">
        <v>11.7181</v>
      </c>
      <c r="CC147" s="51">
        <v>11.861000000000001</v>
      </c>
      <c r="CD147" s="45">
        <v>11.9894</v>
      </c>
      <c r="CE147" s="45">
        <v>11.917299999999999</v>
      </c>
      <c r="CF147" s="45">
        <v>11.5299</v>
      </c>
      <c r="CG147" s="36">
        <v>12.1533</v>
      </c>
      <c r="CH147" s="36">
        <v>10.6389</v>
      </c>
      <c r="CI147" s="45">
        <v>8.0470000000000006</v>
      </c>
      <c r="CJ147" s="45">
        <v>9.8231000000000002</v>
      </c>
      <c r="CK147" s="45">
        <v>9.9448000000000008</v>
      </c>
      <c r="CL147" s="45">
        <v>11.5464</v>
      </c>
      <c r="CM147" s="50">
        <v>11.383599999999999</v>
      </c>
      <c r="CN147" s="48">
        <v>11.222200000000001</v>
      </c>
      <c r="CO147" s="45">
        <v>10.7324</v>
      </c>
      <c r="CP147" s="45">
        <v>11.2888</v>
      </c>
      <c r="CQ147" s="45"/>
      <c r="CR147" s="45"/>
      <c r="CS147" s="45"/>
      <c r="CT147" s="45"/>
      <c r="CU147" s="45"/>
      <c r="CV147" s="45"/>
      <c r="CW147" s="45"/>
      <c r="CX147" s="45"/>
      <c r="CY147" s="99"/>
    </row>
    <row r="148" spans="1:103" ht="45" customHeight="1">
      <c r="A148" s="39">
        <v>14</v>
      </c>
      <c r="B148" s="40" t="s">
        <v>408</v>
      </c>
      <c r="C148" s="41" t="s">
        <v>409</v>
      </c>
      <c r="D148" s="41" t="s">
        <v>107</v>
      </c>
      <c r="E148" s="41" t="s">
        <v>124</v>
      </c>
      <c r="F148" s="41" t="s">
        <v>125</v>
      </c>
      <c r="G148" s="42" t="s">
        <v>110</v>
      </c>
      <c r="H148" s="35"/>
      <c r="I148" s="36"/>
      <c r="J148" s="36"/>
      <c r="K148" s="36"/>
      <c r="L148" s="36"/>
      <c r="M148" s="36"/>
      <c r="N148" s="36"/>
      <c r="O148" s="36"/>
      <c r="P148" s="36"/>
      <c r="Q148" s="36"/>
      <c r="R148" s="36"/>
      <c r="S148" s="37"/>
      <c r="T148" s="35"/>
      <c r="U148" s="36"/>
      <c r="V148" s="36"/>
      <c r="W148" s="36"/>
      <c r="X148" s="36"/>
      <c r="Y148" s="36"/>
      <c r="Z148" s="36"/>
      <c r="AA148" s="36"/>
      <c r="AB148" s="36"/>
      <c r="AC148" s="36"/>
      <c r="AD148" s="36"/>
      <c r="AE148" s="37"/>
      <c r="AF148" s="35"/>
      <c r="AG148" s="36"/>
      <c r="AH148" s="36"/>
      <c r="AI148" s="36"/>
      <c r="AJ148" s="36"/>
      <c r="AK148" s="36"/>
      <c r="AL148" s="36"/>
      <c r="AM148" s="36"/>
      <c r="AN148" s="36"/>
      <c r="AO148" s="36"/>
      <c r="AP148" s="36"/>
      <c r="AQ148" s="37"/>
      <c r="AR148" s="35"/>
      <c r="AS148" s="36"/>
      <c r="AT148" s="36"/>
      <c r="AU148" s="36"/>
      <c r="AV148" s="36"/>
      <c r="AW148" s="36"/>
      <c r="AX148" s="36"/>
      <c r="AY148" s="36"/>
      <c r="AZ148" s="36"/>
      <c r="BA148" s="36"/>
      <c r="BB148" s="36"/>
      <c r="BC148" s="37"/>
      <c r="BD148" s="35">
        <v>12.9953</v>
      </c>
      <c r="BE148" s="36">
        <v>13.370200000000001</v>
      </c>
      <c r="BF148" s="36">
        <v>13.6836</v>
      </c>
      <c r="BG148" s="36">
        <v>13.462300000000001</v>
      </c>
      <c r="BH148" s="36">
        <v>13.495799999999999</v>
      </c>
      <c r="BI148" s="36">
        <v>13.8832</v>
      </c>
      <c r="BJ148" s="36">
        <v>15.1317</v>
      </c>
      <c r="BK148" s="36">
        <v>16.7776</v>
      </c>
      <c r="BL148" s="36">
        <v>16.8979</v>
      </c>
      <c r="BM148" s="36">
        <v>15.2051</v>
      </c>
      <c r="BN148" s="36">
        <v>15.994300000000001</v>
      </c>
      <c r="BO148" s="37">
        <v>15.9809</v>
      </c>
      <c r="BP148" s="35">
        <v>16.9956</v>
      </c>
      <c r="BQ148" s="36">
        <v>16.784300000000002</v>
      </c>
      <c r="BR148" s="47">
        <v>16.057600000000001</v>
      </c>
      <c r="BS148" s="36">
        <v>15.5556</v>
      </c>
      <c r="BT148" s="36">
        <v>15.06</v>
      </c>
      <c r="BU148" s="36">
        <v>13.5778</v>
      </c>
      <c r="BV148" s="36">
        <v>9.4309999999999992</v>
      </c>
      <c r="BW148" s="36">
        <v>12.921200000000001</v>
      </c>
      <c r="BX148" s="36">
        <v>13.225300000000001</v>
      </c>
      <c r="BY148" s="36">
        <v>11.941599999999999</v>
      </c>
      <c r="BZ148" s="36">
        <v>12.295999999999999</v>
      </c>
      <c r="CA148" s="38">
        <v>11.495699999999999</v>
      </c>
      <c r="CB148" s="52">
        <v>12.7209</v>
      </c>
      <c r="CC148" s="45">
        <v>12.6233</v>
      </c>
      <c r="CD148" s="45">
        <v>13.414899999999999</v>
      </c>
      <c r="CE148" s="51">
        <v>12.838200000000001</v>
      </c>
      <c r="CF148" s="36">
        <v>12.604200000000001</v>
      </c>
      <c r="CG148" s="36">
        <v>12.103300000000001</v>
      </c>
      <c r="CH148" s="36">
        <v>12.5031</v>
      </c>
      <c r="CI148" s="36">
        <v>12.0398</v>
      </c>
      <c r="CJ148" s="36">
        <v>11.2258</v>
      </c>
      <c r="CK148" s="51">
        <v>9.2058999999999997</v>
      </c>
      <c r="CL148" s="51">
        <v>11.977499999999999</v>
      </c>
      <c r="CM148" s="55">
        <v>12.2615</v>
      </c>
      <c r="CN148" s="52">
        <v>12.035</v>
      </c>
      <c r="CO148" s="51">
        <v>11.921799999999999</v>
      </c>
      <c r="CP148" s="51">
        <v>12.435700000000001</v>
      </c>
      <c r="CQ148" s="51"/>
      <c r="CR148" s="51"/>
      <c r="CS148" s="51"/>
      <c r="CT148" s="51"/>
      <c r="CU148" s="51"/>
      <c r="CV148" s="51"/>
      <c r="CW148" s="51"/>
      <c r="CX148" s="51"/>
      <c r="CY148" s="100"/>
    </row>
    <row r="149" spans="1:103" ht="45" customHeight="1">
      <c r="A149" s="39">
        <v>2</v>
      </c>
      <c r="B149" s="40" t="s">
        <v>410</v>
      </c>
      <c r="C149" s="41" t="s">
        <v>411</v>
      </c>
      <c r="D149" s="41" t="s">
        <v>107</v>
      </c>
      <c r="E149" s="41" t="s">
        <v>124</v>
      </c>
      <c r="F149" s="41" t="s">
        <v>125</v>
      </c>
      <c r="G149" s="42" t="s">
        <v>110</v>
      </c>
      <c r="H149" s="35">
        <v>13.3249</v>
      </c>
      <c r="I149" s="36">
        <v>13.188499999999999</v>
      </c>
      <c r="J149" s="36">
        <v>13.3154</v>
      </c>
      <c r="K149" s="36">
        <v>13.891999999999999</v>
      </c>
      <c r="L149" s="36">
        <v>13.665100000000001</v>
      </c>
      <c r="M149" s="36">
        <v>13.4297</v>
      </c>
      <c r="N149" s="36">
        <v>13.572800000000001</v>
      </c>
      <c r="O149" s="36">
        <v>13.650499999999999</v>
      </c>
      <c r="P149" s="36">
        <v>13.3093</v>
      </c>
      <c r="Q149" s="36">
        <v>13.353400000000001</v>
      </c>
      <c r="R149" s="36">
        <v>13.618</v>
      </c>
      <c r="S149" s="37">
        <v>13.753500000000001</v>
      </c>
      <c r="T149" s="35">
        <v>14.091200000000001</v>
      </c>
      <c r="U149" s="36">
        <v>13.897</v>
      </c>
      <c r="V149" s="36">
        <v>14.5549</v>
      </c>
      <c r="W149" s="36">
        <v>14.143599999999999</v>
      </c>
      <c r="X149" s="36">
        <v>13.0814</v>
      </c>
      <c r="Y149" s="36">
        <v>12.5276</v>
      </c>
      <c r="Z149" s="36">
        <v>11.841100000000001</v>
      </c>
      <c r="AA149" s="36">
        <v>12.0646</v>
      </c>
      <c r="AB149" s="36">
        <v>11.997999999999999</v>
      </c>
      <c r="AC149" s="36">
        <v>11.876200000000001</v>
      </c>
      <c r="AD149" s="36">
        <v>11.8279</v>
      </c>
      <c r="AE149" s="37">
        <v>12.2806</v>
      </c>
      <c r="AF149" s="35">
        <v>12.324</v>
      </c>
      <c r="AG149" s="36">
        <v>11.4657</v>
      </c>
      <c r="AH149" s="36">
        <v>11.4002</v>
      </c>
      <c r="AI149" s="36">
        <v>11.4481</v>
      </c>
      <c r="AJ149" s="36">
        <v>10.6823</v>
      </c>
      <c r="AK149" s="36">
        <v>11.0724</v>
      </c>
      <c r="AL149" s="36">
        <v>10.971299999999999</v>
      </c>
      <c r="AM149" s="36">
        <v>11.2151</v>
      </c>
      <c r="AN149" s="36">
        <v>10.926500000000001</v>
      </c>
      <c r="AO149" s="36">
        <v>10.3965</v>
      </c>
      <c r="AP149" s="36">
        <v>10.752700000000001</v>
      </c>
      <c r="AQ149" s="37">
        <v>10.581899999999999</v>
      </c>
      <c r="AR149" s="35">
        <v>10.6135</v>
      </c>
      <c r="AS149" s="36">
        <v>10.637600000000001</v>
      </c>
      <c r="AT149" s="36">
        <v>11.680099999999999</v>
      </c>
      <c r="AU149" s="36">
        <v>11.6812</v>
      </c>
      <c r="AV149" s="36">
        <v>11.071999999999999</v>
      </c>
      <c r="AW149" s="36">
        <v>10.8491</v>
      </c>
      <c r="AX149" s="36">
        <v>11.102</v>
      </c>
      <c r="AY149" s="36">
        <v>12.1646</v>
      </c>
      <c r="AZ149" s="36">
        <v>11.9907</v>
      </c>
      <c r="BA149" s="36">
        <v>12.6271</v>
      </c>
      <c r="BB149" s="36">
        <v>13.216900000000001</v>
      </c>
      <c r="BC149" s="37">
        <v>13.6469</v>
      </c>
      <c r="BD149" s="35">
        <v>14.9406</v>
      </c>
      <c r="BE149" s="36">
        <v>15.077199999999999</v>
      </c>
      <c r="BF149" s="36">
        <v>16.4391</v>
      </c>
      <c r="BG149" s="36">
        <v>15.077199999999999</v>
      </c>
      <c r="BH149" s="36">
        <v>14.874000000000001</v>
      </c>
      <c r="BI149" s="36">
        <v>15.5656</v>
      </c>
      <c r="BJ149" s="36">
        <v>16.7469</v>
      </c>
      <c r="BK149" s="36">
        <v>17.540099999999999</v>
      </c>
      <c r="BL149" s="36">
        <v>16.896100000000001</v>
      </c>
      <c r="BM149" s="36">
        <v>16.042899999999999</v>
      </c>
      <c r="BN149" s="36">
        <v>16.923500000000001</v>
      </c>
      <c r="BO149" s="37">
        <v>17.490400000000001</v>
      </c>
      <c r="BP149" s="35">
        <v>16.706299999999999</v>
      </c>
      <c r="BQ149" s="36">
        <v>18.308800000000002</v>
      </c>
      <c r="BR149" s="47">
        <v>17.4407</v>
      </c>
      <c r="BS149" s="36">
        <v>19.0151</v>
      </c>
      <c r="BT149" s="36">
        <v>16.512499999999999</v>
      </c>
      <c r="BU149" s="36">
        <v>15.388</v>
      </c>
      <c r="BV149" s="36">
        <v>15.837300000000001</v>
      </c>
      <c r="BW149" s="36">
        <v>14.2995</v>
      </c>
      <c r="BX149" s="36">
        <v>13.2226</v>
      </c>
      <c r="BY149" s="36">
        <v>7.4489000000000001</v>
      </c>
      <c r="BZ149" s="36">
        <v>10.645899999999999</v>
      </c>
      <c r="CA149" s="38">
        <v>10.701599999999999</v>
      </c>
      <c r="CB149" s="63">
        <v>12.921099999999999</v>
      </c>
      <c r="CC149" s="36">
        <v>13.3612</v>
      </c>
      <c r="CD149" s="45">
        <v>13.9915</v>
      </c>
      <c r="CE149" s="51">
        <v>15.090299999999999</v>
      </c>
      <c r="CF149" s="36">
        <v>14.1213</v>
      </c>
      <c r="CG149" s="36">
        <v>13.441700000000001</v>
      </c>
      <c r="CH149" s="36">
        <v>13.4353</v>
      </c>
      <c r="CI149" s="36">
        <v>14.269</v>
      </c>
      <c r="CJ149" s="36">
        <v>12.9397</v>
      </c>
      <c r="CK149" s="51">
        <v>12.926600000000001</v>
      </c>
      <c r="CL149" s="51">
        <v>13.039199999999999</v>
      </c>
      <c r="CM149" s="55">
        <v>13.1501</v>
      </c>
      <c r="CN149" s="101">
        <v>13.7311</v>
      </c>
      <c r="CO149" s="91">
        <v>13.4857</v>
      </c>
      <c r="CP149" s="91">
        <v>14.1317</v>
      </c>
      <c r="CQ149" s="91"/>
      <c r="CR149" s="91"/>
      <c r="CS149" s="91"/>
      <c r="CT149" s="91"/>
      <c r="CU149" s="91"/>
      <c r="CV149" s="91"/>
      <c r="CW149" s="91"/>
      <c r="CX149" s="91"/>
      <c r="CY149" s="102"/>
    </row>
    <row r="150" spans="1:103" ht="45" customHeight="1">
      <c r="A150" s="39">
        <v>138</v>
      </c>
      <c r="B150" s="40" t="s">
        <v>412</v>
      </c>
      <c r="C150" s="41" t="s">
        <v>413</v>
      </c>
      <c r="D150" s="41" t="s">
        <v>107</v>
      </c>
      <c r="E150" s="41" t="s">
        <v>113</v>
      </c>
      <c r="F150" s="41" t="s">
        <v>109</v>
      </c>
      <c r="G150" s="42" t="s">
        <v>110</v>
      </c>
      <c r="H150" s="103">
        <v>9.0827000000000009</v>
      </c>
      <c r="I150" s="36">
        <v>10.005000000000001</v>
      </c>
      <c r="J150" s="36">
        <v>10.351699999999999</v>
      </c>
      <c r="K150" s="36">
        <v>10.6896</v>
      </c>
      <c r="L150" s="36">
        <v>10.2241</v>
      </c>
      <c r="M150" s="36">
        <v>10.119</v>
      </c>
      <c r="N150" s="36">
        <v>10.2658</v>
      </c>
      <c r="O150" s="36">
        <v>10.5763</v>
      </c>
      <c r="P150" s="36">
        <v>10.3825</v>
      </c>
      <c r="Q150" s="36">
        <v>10.2182</v>
      </c>
      <c r="R150" s="36">
        <v>10.4559</v>
      </c>
      <c r="S150" s="37">
        <v>11.0459</v>
      </c>
      <c r="T150" s="35">
        <v>10.9015</v>
      </c>
      <c r="U150" s="36">
        <v>11.448700000000001</v>
      </c>
      <c r="V150" s="36">
        <v>11.1089</v>
      </c>
      <c r="W150" s="36">
        <v>11.1652</v>
      </c>
      <c r="X150" s="36">
        <v>11.3742</v>
      </c>
      <c r="Y150" s="36">
        <v>11.8407</v>
      </c>
      <c r="Z150" s="36">
        <v>11.9</v>
      </c>
      <c r="AA150" s="36">
        <v>10.7338</v>
      </c>
      <c r="AB150" s="36">
        <v>10.5809</v>
      </c>
      <c r="AC150" s="36">
        <v>10.192299999999999</v>
      </c>
      <c r="AD150" s="36">
        <v>10.213100000000001</v>
      </c>
      <c r="AE150" s="37">
        <v>10.358700000000001</v>
      </c>
      <c r="AF150" s="35">
        <v>11.414099999999999</v>
      </c>
      <c r="AG150" s="36">
        <v>9.8247</v>
      </c>
      <c r="AH150" s="36">
        <v>10.1234</v>
      </c>
      <c r="AI150" s="36">
        <v>9.4862000000000002</v>
      </c>
      <c r="AJ150" s="36">
        <v>9.625</v>
      </c>
      <c r="AK150" s="36">
        <v>9.6942000000000004</v>
      </c>
      <c r="AL150" s="36">
        <v>9.4758999999999993</v>
      </c>
      <c r="AM150" s="36">
        <v>8.8638999999999992</v>
      </c>
      <c r="AN150" s="36">
        <v>8.4499999999999993</v>
      </c>
      <c r="AO150" s="36">
        <v>8.4895999999999994</v>
      </c>
      <c r="AP150" s="36">
        <v>8.5122</v>
      </c>
      <c r="AQ150" s="37">
        <v>8.5089000000000006</v>
      </c>
      <c r="AR150" s="35">
        <v>8.3574000000000002</v>
      </c>
      <c r="AS150" s="36">
        <v>9.5424000000000007</v>
      </c>
      <c r="AT150" s="36">
        <v>9.9098000000000006</v>
      </c>
      <c r="AU150" s="36">
        <v>10.024699999999999</v>
      </c>
      <c r="AV150" s="36">
        <v>9.9673999999999996</v>
      </c>
      <c r="AW150" s="36">
        <v>9.9573</v>
      </c>
      <c r="AX150" s="36">
        <v>10.5825</v>
      </c>
      <c r="AY150" s="36">
        <v>10.8421</v>
      </c>
      <c r="AZ150" s="36">
        <v>10.5588</v>
      </c>
      <c r="BA150" s="36">
        <v>10.5586</v>
      </c>
      <c r="BB150" s="36">
        <v>11.6105</v>
      </c>
      <c r="BC150" s="37">
        <v>11.913</v>
      </c>
      <c r="BD150" s="35">
        <v>12.330500000000001</v>
      </c>
      <c r="BE150" s="36">
        <v>12.558299999999999</v>
      </c>
      <c r="BF150" s="36">
        <v>12.2653</v>
      </c>
      <c r="BG150" s="36">
        <v>12.6089</v>
      </c>
      <c r="BH150" s="36">
        <v>13.5855</v>
      </c>
      <c r="BI150" s="36">
        <v>14.9696</v>
      </c>
      <c r="BJ150" s="36">
        <v>15.923</v>
      </c>
      <c r="BK150" s="36">
        <v>16.446400000000001</v>
      </c>
      <c r="BL150" s="36">
        <v>17.110299999999999</v>
      </c>
      <c r="BM150" s="36">
        <v>16.917300000000001</v>
      </c>
      <c r="BN150" s="36">
        <v>16.362100000000002</v>
      </c>
      <c r="BO150" s="37">
        <v>15.712300000000001</v>
      </c>
      <c r="BP150" s="35">
        <v>14.1401</v>
      </c>
      <c r="BQ150" s="36">
        <v>14.6843</v>
      </c>
      <c r="BR150" s="36">
        <v>14.061500000000001</v>
      </c>
      <c r="BS150" s="36">
        <v>13.2287</v>
      </c>
      <c r="BT150" s="36">
        <v>12.7278</v>
      </c>
      <c r="BU150" s="36">
        <v>12.633800000000001</v>
      </c>
      <c r="BV150" s="36">
        <v>11.3947</v>
      </c>
      <c r="BW150" s="36">
        <v>11.4002</v>
      </c>
      <c r="BX150" s="36">
        <v>11.676299999999999</v>
      </c>
      <c r="BY150" s="36">
        <v>11.043799999999999</v>
      </c>
      <c r="BZ150" s="36">
        <v>9.0030999999999999</v>
      </c>
      <c r="CA150" s="38">
        <v>10.6578</v>
      </c>
      <c r="CB150" s="63">
        <v>10.5306</v>
      </c>
      <c r="CC150" s="36">
        <v>10.4521</v>
      </c>
      <c r="CD150" s="36">
        <v>11.348599999999999</v>
      </c>
      <c r="CE150" s="36">
        <v>11.3796</v>
      </c>
      <c r="CF150" s="36">
        <v>11.917400000000001</v>
      </c>
      <c r="CG150" s="36">
        <v>9.7617999999999991</v>
      </c>
      <c r="CH150" s="36">
        <v>12.7254</v>
      </c>
      <c r="CI150" s="36">
        <v>13.0489</v>
      </c>
      <c r="CJ150" s="36">
        <v>13.3687</v>
      </c>
      <c r="CK150" s="36">
        <v>10.134499999999999</v>
      </c>
      <c r="CL150" s="36">
        <v>10.2789</v>
      </c>
      <c r="CM150" s="38">
        <v>10.342700000000001</v>
      </c>
      <c r="CN150" s="36">
        <v>9.5706000000000007</v>
      </c>
      <c r="CO150" s="36">
        <v>9.2873999999999999</v>
      </c>
      <c r="CP150" s="36">
        <v>10.3667</v>
      </c>
      <c r="CQ150" s="36"/>
      <c r="CR150" s="36"/>
      <c r="CS150" s="36"/>
      <c r="CT150" s="36"/>
      <c r="CU150" s="36"/>
      <c r="CV150" s="36"/>
      <c r="CW150" s="36"/>
      <c r="CX150" s="36"/>
      <c r="CY150" s="36"/>
    </row>
    <row r="151" spans="1:103" ht="45" customHeight="1">
      <c r="A151" s="39">
        <v>53</v>
      </c>
      <c r="B151" s="40" t="s">
        <v>414</v>
      </c>
      <c r="C151" s="41" t="s">
        <v>415</v>
      </c>
      <c r="D151" s="41" t="s">
        <v>107</v>
      </c>
      <c r="E151" s="41" t="s">
        <v>113</v>
      </c>
      <c r="F151" s="41" t="s">
        <v>109</v>
      </c>
      <c r="G151" s="42" t="s">
        <v>110</v>
      </c>
      <c r="H151" s="35"/>
      <c r="I151" s="36"/>
      <c r="J151" s="36"/>
      <c r="K151" s="36"/>
      <c r="L151" s="36"/>
      <c r="M151" s="36"/>
      <c r="N151" s="36"/>
      <c r="O151" s="36"/>
      <c r="P151" s="36"/>
      <c r="Q151" s="36"/>
      <c r="R151" s="36"/>
      <c r="S151" s="37"/>
      <c r="T151" s="35"/>
      <c r="U151" s="36"/>
      <c r="V151" s="36"/>
      <c r="W151" s="36"/>
      <c r="X151" s="36"/>
      <c r="Y151" s="36"/>
      <c r="Z151" s="36"/>
      <c r="AA151" s="36"/>
      <c r="AB151" s="36"/>
      <c r="AC151" s="36"/>
      <c r="AD151" s="36"/>
      <c r="AE151" s="37"/>
      <c r="AF151" s="35"/>
      <c r="AG151" s="36"/>
      <c r="AH151" s="36"/>
      <c r="AI151" s="36"/>
      <c r="AJ151" s="36"/>
      <c r="AK151" s="36"/>
      <c r="AL151" s="36"/>
      <c r="AM151" s="36"/>
      <c r="AN151" s="36"/>
      <c r="AO151" s="36"/>
      <c r="AP151" s="36"/>
      <c r="AQ151" s="37"/>
      <c r="AR151" s="35"/>
      <c r="AS151" s="36"/>
      <c r="AT151" s="36"/>
      <c r="AU151" s="36"/>
      <c r="AV151" s="36"/>
      <c r="AW151" s="36"/>
      <c r="AX151" s="36"/>
      <c r="AY151" s="36"/>
      <c r="AZ151" s="36"/>
      <c r="BA151" s="36"/>
      <c r="BB151" s="36"/>
      <c r="BC151" s="37"/>
      <c r="BD151" s="35"/>
      <c r="BE151" s="36"/>
      <c r="BF151" s="36"/>
      <c r="BG151" s="36"/>
      <c r="BH151" s="36"/>
      <c r="BI151" s="36"/>
      <c r="BJ151" s="36"/>
      <c r="BK151" s="36"/>
      <c r="BL151" s="36"/>
      <c r="BM151" s="36"/>
      <c r="BN151" s="36"/>
      <c r="BO151" s="37"/>
      <c r="BP151" s="35">
        <v>15.133900000000001</v>
      </c>
      <c r="BQ151" s="36">
        <v>14.469200000000001</v>
      </c>
      <c r="BR151" s="36">
        <v>13.865399999999999</v>
      </c>
      <c r="BS151" s="36">
        <v>16.418900000000001</v>
      </c>
      <c r="BT151" s="36">
        <v>11.311199999999999</v>
      </c>
      <c r="BU151" s="36">
        <v>10.4046</v>
      </c>
      <c r="BV151" s="36">
        <v>11.5488</v>
      </c>
      <c r="BW151" s="36">
        <v>8.0625</v>
      </c>
      <c r="BX151" s="36">
        <v>9.4423999999999992</v>
      </c>
      <c r="BY151" s="36">
        <v>9.7049000000000003</v>
      </c>
      <c r="BZ151" s="36">
        <v>9.0236999999999998</v>
      </c>
      <c r="CA151" s="38">
        <v>9.1085999999999991</v>
      </c>
      <c r="CB151" s="35">
        <v>9.1085999999999991</v>
      </c>
      <c r="CC151" s="36">
        <v>9.1920000000000002</v>
      </c>
      <c r="CD151" s="45">
        <v>9.8353999999999999</v>
      </c>
      <c r="CE151" s="36">
        <v>9.6610999999999994</v>
      </c>
      <c r="CF151" s="45">
        <v>10.145200000000001</v>
      </c>
      <c r="CG151" s="36">
        <v>8.2179000000000002</v>
      </c>
      <c r="CH151" s="36">
        <v>8.4684000000000008</v>
      </c>
      <c r="CI151" s="36">
        <v>10.797700000000001</v>
      </c>
      <c r="CJ151" s="36">
        <v>11.160500000000001</v>
      </c>
      <c r="CK151" s="36">
        <v>9.6547999999999998</v>
      </c>
      <c r="CL151" s="36">
        <v>9.4845000000000006</v>
      </c>
      <c r="CM151" s="38">
        <v>9.0966000000000005</v>
      </c>
      <c r="CN151" s="36">
        <v>8.8889999999999993</v>
      </c>
      <c r="CO151" s="36">
        <v>8.7483000000000004</v>
      </c>
      <c r="CP151" s="36">
        <v>9.5027000000000008</v>
      </c>
      <c r="CQ151" s="36"/>
      <c r="CR151" s="36"/>
      <c r="CS151" s="36"/>
      <c r="CT151" s="36"/>
      <c r="CU151" s="36"/>
      <c r="CV151" s="36"/>
      <c r="CW151" s="36"/>
      <c r="CX151" s="36"/>
      <c r="CY151" s="36"/>
    </row>
    <row r="152" spans="1:103" ht="45" customHeight="1">
      <c r="A152" s="39">
        <v>91</v>
      </c>
      <c r="B152" s="40" t="s">
        <v>416</v>
      </c>
      <c r="C152" s="41" t="s">
        <v>417</v>
      </c>
      <c r="D152" s="41" t="s">
        <v>134</v>
      </c>
      <c r="E152" s="41" t="s">
        <v>138</v>
      </c>
      <c r="F152" s="41" t="s">
        <v>125</v>
      </c>
      <c r="G152" s="42" t="s">
        <v>110</v>
      </c>
      <c r="H152" s="35"/>
      <c r="I152" s="36"/>
      <c r="J152" s="36"/>
      <c r="K152" s="36"/>
      <c r="L152" s="36"/>
      <c r="M152" s="36"/>
      <c r="N152" s="36"/>
      <c r="O152" s="36"/>
      <c r="P152" s="36"/>
      <c r="Q152" s="36"/>
      <c r="R152" s="36"/>
      <c r="S152" s="37"/>
      <c r="T152" s="35"/>
      <c r="U152" s="36"/>
      <c r="V152" s="36"/>
      <c r="W152" s="36"/>
      <c r="X152" s="36"/>
      <c r="Y152" s="36"/>
      <c r="Z152" s="36"/>
      <c r="AA152" s="36"/>
      <c r="AB152" s="36"/>
      <c r="AC152" s="36"/>
      <c r="AD152" s="36"/>
      <c r="AE152" s="37"/>
      <c r="AF152" s="35"/>
      <c r="AG152" s="36"/>
      <c r="AH152" s="36"/>
      <c r="AI152" s="36"/>
      <c r="AJ152" s="36"/>
      <c r="AK152" s="36"/>
      <c r="AL152" s="36"/>
      <c r="AM152" s="36"/>
      <c r="AN152" s="36"/>
      <c r="AO152" s="36"/>
      <c r="AP152" s="36"/>
      <c r="AQ152" s="37"/>
      <c r="AR152" s="35"/>
      <c r="AS152" s="36"/>
      <c r="AT152" s="36"/>
      <c r="AU152" s="36"/>
      <c r="AV152" s="36"/>
      <c r="AW152" s="36"/>
      <c r="AX152" s="36"/>
      <c r="AY152" s="36"/>
      <c r="AZ152" s="36"/>
      <c r="BA152" s="36"/>
      <c r="BB152" s="36"/>
      <c r="BC152" s="37"/>
      <c r="BD152" s="35"/>
      <c r="BE152" s="36"/>
      <c r="BF152" s="36"/>
      <c r="BG152" s="36"/>
      <c r="BH152" s="36"/>
      <c r="BI152" s="36"/>
      <c r="BJ152" s="36"/>
      <c r="BK152" s="36"/>
      <c r="BL152" s="36"/>
      <c r="BM152" s="36"/>
      <c r="BN152" s="36"/>
      <c r="BO152" s="37"/>
      <c r="BP152" s="35"/>
      <c r="BQ152" s="36"/>
      <c r="BR152" s="36">
        <v>10.706</v>
      </c>
      <c r="BS152" s="36">
        <v>13.3969</v>
      </c>
      <c r="BT152" s="36">
        <v>12.8291</v>
      </c>
      <c r="BU152" s="36"/>
      <c r="BV152" s="36"/>
      <c r="BW152" s="36"/>
      <c r="BX152" s="36"/>
      <c r="BY152" s="36"/>
      <c r="BZ152" s="36"/>
      <c r="CA152" s="38"/>
      <c r="CB152" s="35"/>
      <c r="CC152" s="36"/>
      <c r="CD152" s="36"/>
      <c r="CE152" s="36"/>
      <c r="CF152" s="36"/>
      <c r="CG152" s="36"/>
      <c r="CH152" s="36"/>
      <c r="CI152" s="36"/>
      <c r="CJ152" s="36"/>
      <c r="CK152" s="36"/>
      <c r="CL152" s="36"/>
      <c r="CM152" s="38"/>
      <c r="CN152" s="104"/>
      <c r="CO152" s="67"/>
      <c r="CP152" s="67"/>
      <c r="CQ152" s="67"/>
      <c r="CR152" s="67"/>
      <c r="CS152" s="67"/>
      <c r="CT152" s="67"/>
      <c r="CU152" s="67"/>
      <c r="CV152" s="67"/>
      <c r="CW152" s="67"/>
      <c r="CX152" s="67"/>
      <c r="CY152" s="105"/>
    </row>
    <row r="153" spans="1:103" ht="45" customHeight="1">
      <c r="A153" s="39">
        <v>25</v>
      </c>
      <c r="B153" s="40" t="s">
        <v>418</v>
      </c>
      <c r="C153" s="41" t="s">
        <v>419</v>
      </c>
      <c r="D153" s="41" t="s">
        <v>107</v>
      </c>
      <c r="E153" s="41" t="s">
        <v>113</v>
      </c>
      <c r="F153" s="41" t="s">
        <v>109</v>
      </c>
      <c r="G153" s="42" t="s">
        <v>114</v>
      </c>
      <c r="H153" s="35"/>
      <c r="I153" s="36"/>
      <c r="J153" s="36"/>
      <c r="K153" s="36"/>
      <c r="L153" s="36"/>
      <c r="M153" s="36"/>
      <c r="N153" s="36"/>
      <c r="O153" s="36"/>
      <c r="P153" s="36"/>
      <c r="Q153" s="36"/>
      <c r="R153" s="36"/>
      <c r="S153" s="37"/>
      <c r="T153" s="35"/>
      <c r="U153" s="36"/>
      <c r="V153" s="36"/>
      <c r="W153" s="36"/>
      <c r="X153" s="36"/>
      <c r="Y153" s="36"/>
      <c r="Z153" s="36"/>
      <c r="AA153" s="36"/>
      <c r="AB153" s="36"/>
      <c r="AC153" s="36"/>
      <c r="AD153" s="36"/>
      <c r="AE153" s="37"/>
      <c r="AF153" s="35"/>
      <c r="AG153" s="36"/>
      <c r="AH153" s="36"/>
      <c r="AI153" s="36"/>
      <c r="AJ153" s="36"/>
      <c r="AK153" s="36"/>
      <c r="AL153" s="36"/>
      <c r="AM153" s="36"/>
      <c r="AN153" s="36"/>
      <c r="AO153" s="36"/>
      <c r="AP153" s="36"/>
      <c r="AQ153" s="37"/>
      <c r="AR153" s="35"/>
      <c r="AS153" s="36"/>
      <c r="AT153" s="36"/>
      <c r="AU153" s="36"/>
      <c r="AV153" s="36"/>
      <c r="AW153" s="36"/>
      <c r="AX153" s="36"/>
      <c r="AY153" s="36"/>
      <c r="AZ153" s="36"/>
      <c r="BA153" s="36"/>
      <c r="BB153" s="36"/>
      <c r="BC153" s="37"/>
      <c r="BD153" s="35">
        <v>13.885999999999999</v>
      </c>
      <c r="BE153" s="36">
        <v>14.1136</v>
      </c>
      <c r="BF153" s="36">
        <v>13.201700000000001</v>
      </c>
      <c r="BG153" s="36">
        <v>13.5397</v>
      </c>
      <c r="BH153" s="36">
        <v>13.090199999999999</v>
      </c>
      <c r="BI153" s="36">
        <v>13.841699999999999</v>
      </c>
      <c r="BJ153" s="36">
        <v>15.3477</v>
      </c>
      <c r="BK153" s="36">
        <v>15.8728</v>
      </c>
      <c r="BL153" s="36">
        <v>15.7713</v>
      </c>
      <c r="BM153" s="36">
        <v>17.226600000000001</v>
      </c>
      <c r="BN153" s="36">
        <v>17.212299999999999</v>
      </c>
      <c r="BO153" s="37">
        <v>17.169599999999999</v>
      </c>
      <c r="BP153" s="35">
        <v>15.693300000000001</v>
      </c>
      <c r="BQ153" s="36">
        <v>15.389900000000001</v>
      </c>
      <c r="BR153" s="47">
        <v>15.5299</v>
      </c>
      <c r="BS153" s="36">
        <v>13.147</v>
      </c>
      <c r="BT153" s="36">
        <v>12.683</v>
      </c>
      <c r="BU153" s="36">
        <f>8.5742+0.5511+0.6725+1.7202+0.5276+0.4429+0.0572+0.00014+0.0058+0.0433+0.1783+0.0017+0.0428</f>
        <v>12.817739999999999</v>
      </c>
      <c r="BV153" s="36">
        <f>7.5289+0.8096+0.5746+0.0667+0.5762+0.0623+1.7202+0.5276+0.4429+0.0526+0.0001-0.05+0.00825+0.0058+0.0433+0.1783+0.0017+0.0428</f>
        <v>12.591850000000001</v>
      </c>
      <c r="BW153" s="36">
        <f>5.1863+0.2015+0.1642+1.7202+0.5276+0.4429+0.0224+0.00006-0.05+0.00825+0.0058+0.0433+0.1783+0.0017+0.0428+0.6224+0.0242+0.0197</f>
        <v>9.1616100000000014</v>
      </c>
      <c r="BX153" s="36">
        <v>12.190449999999998</v>
      </c>
      <c r="BY153" s="36">
        <f>6.2915+0.6155+0.5353+1.7202+0.5276+0.4429+0.0482+0.0001-0.05+0.00825+0.0058+0.2238+0.1783+0.0017+0.0428-0.0125</f>
        <v>10.57945</v>
      </c>
      <c r="BZ153" s="36">
        <f>6.796+0.7506+0.5592+1.7202+0.5276+0.4429+0.0439+0.0001-0.05+0.00825+0.0058+0.2477+0.0017+0.0428-0.0142</f>
        <v>11.082549999999999</v>
      </c>
      <c r="CA153" s="38">
        <f>5.5344+0.7331+0.465+1.7202+0.5276+0.4429+0.0463+0.0001-0.05+0.00825+0.0058+0.933+0.0017+0.0428-0.0134</f>
        <v>10.397749999999998</v>
      </c>
      <c r="CB153" s="43">
        <v>9.9473999999999965</v>
      </c>
      <c r="CC153" s="44">
        <v>9.7555499999999977</v>
      </c>
      <c r="CD153" s="44">
        <v>9.7766399999999987</v>
      </c>
      <c r="CE153" s="44">
        <v>10.96265</v>
      </c>
      <c r="CF153" s="44">
        <f>7.2209+0.6199+0.6053+1.7202+0.5276+0.4429+0.0005+0.0001-0.05+0.00825+0.2238+0.17+0.0428+0.0364-0.0136</f>
        <v>11.555050000000001</v>
      </c>
      <c r="CG153" s="44">
        <f>5.9296+0.7758+0.5217+1.7202+0.5276+0.4429+0.0005+0.0001-0.05+0.0825+0.0057+0.2238+0.0017+0.0428+0.0838</f>
        <v>10.308699999999998</v>
      </c>
      <c r="CH153" s="44">
        <f>7.1129+0.6834+0.6175+1.7202+0.5276+0.4429+0.0004+0.0001-0.05+0.00825+0.0057+0.2238+0.0017+0.0428+0.0838-0.014</f>
        <v>11.40705</v>
      </c>
      <c r="CI153" s="44">
        <f>7.0498+0.8153+0.6095+1.7202+0.5276+0.4429+0.0005+0.0001-0.05+0.00825+0.0057+0.1805+0.0017+0.0428+0.0838</f>
        <v>11.438649999999999</v>
      </c>
      <c r="CJ153" s="44">
        <f>6.90088+1.1517+0.6358+1.7202+0.5276+0.4429+0.0005+0.0001-0.05+0.00825+0.0057+0.1805+0.0017+0.0428+0.8338-0.0131</f>
        <v>12.389329999999998</v>
      </c>
      <c r="CK153" s="44">
        <f>5.8446+1.0771+0.5233+1.7202+0.5276+0.4429+0.0002+0.0001+0.00825+0.0057+0.1805+0.0017+0.0428+0.0838-0.0127</f>
        <v>10.446049999999996</v>
      </c>
      <c r="CL153" s="36">
        <f>6.1568+1.1964+0.5816+1.7202+0.5276+0.4429+0.0002+0.0001-0.05+0.00825+0.0057+0.1805+0.0017+0.0428+0.0838-0.0124</f>
        <v>10.886149999999997</v>
      </c>
      <c r="CM153" s="46">
        <f>5.9719+1.0946+0.5519+1.7202+0.5276+0.4429+0.0001+0.0001-0.05+0.00825+0.0057+0.1805+0.0017+0.0428+0.838-0.0121</f>
        <v>11.324149999999996</v>
      </c>
      <c r="CN153" s="44">
        <f>6.2597+1.0745+0.5625+1.7202+0.5276+0.4429+0.0001+0.0001-0.05+0.0051+0.1805+0.0017+0.0428+0.0838-0.0132</f>
        <v>10.838299999999998</v>
      </c>
      <c r="CO153" s="44">
        <f>6.127+1.1964+0.5742+1.7202+0.5276+0.4429-0.176+0.0001+0.0001-0.05+0.00825+0.0051+0.1949+0.0044+0.0428+0.0838-0.0125</f>
        <v>10.689249999999999</v>
      </c>
      <c r="CP153" s="44">
        <f>5.9164+1.267+0.5632+1.7202+0.5276+0.4429-0.005+0.0006+0.0001-0.05+0.00825+0.0051+0.1949+0.0428+0.1189-0.012</f>
        <v>10.74095</v>
      </c>
      <c r="CQ153" s="44"/>
      <c r="CR153" s="44"/>
      <c r="CS153" s="44"/>
      <c r="CT153" s="44"/>
      <c r="CU153" s="44"/>
      <c r="CV153" s="44"/>
      <c r="CW153" s="44"/>
      <c r="CX153" s="44"/>
      <c r="CY153" s="44"/>
    </row>
    <row r="154" spans="1:103" s="68" customFormat="1" ht="45" customHeight="1">
      <c r="A154" s="39">
        <v>137</v>
      </c>
      <c r="B154" s="40" t="s">
        <v>420</v>
      </c>
      <c r="C154" s="41" t="s">
        <v>421</v>
      </c>
      <c r="D154" s="41" t="s">
        <v>134</v>
      </c>
      <c r="E154" s="41" t="s">
        <v>157</v>
      </c>
      <c r="F154" s="41" t="s">
        <v>109</v>
      </c>
      <c r="G154" s="42" t="s">
        <v>110</v>
      </c>
      <c r="H154" s="106">
        <v>9.2262000000000004</v>
      </c>
      <c r="I154" s="36">
        <v>9.2347999999999999</v>
      </c>
      <c r="J154" s="36">
        <v>9.2241</v>
      </c>
      <c r="K154" s="36">
        <v>9.2375000000000007</v>
      </c>
      <c r="L154" s="36">
        <v>8.6119000000000003</v>
      </c>
      <c r="M154" s="36">
        <v>8.6024999999999991</v>
      </c>
      <c r="N154" s="36">
        <v>8.6054999999999993</v>
      </c>
      <c r="O154" s="36">
        <v>8.6082999999999998</v>
      </c>
      <c r="P154" s="36">
        <v>8.6004000000000005</v>
      </c>
      <c r="Q154" s="36">
        <v>8.6033000000000008</v>
      </c>
      <c r="R154" s="36">
        <v>8.5973000000000006</v>
      </c>
      <c r="S154" s="37">
        <v>8.5981000000000005</v>
      </c>
      <c r="T154" s="35">
        <v>8.4410000000000007</v>
      </c>
      <c r="U154" s="36">
        <v>8.4267000000000003</v>
      </c>
      <c r="V154" s="36">
        <v>8.4337</v>
      </c>
      <c r="W154" s="36">
        <v>8.4459</v>
      </c>
      <c r="X154" s="36">
        <v>8.4398</v>
      </c>
      <c r="Y154" s="36">
        <v>8.4413999999999998</v>
      </c>
      <c r="Z154" s="36">
        <v>8.4967000000000006</v>
      </c>
      <c r="AA154" s="36">
        <v>8.5000999999999998</v>
      </c>
      <c r="AB154" s="36">
        <v>8.5065000000000008</v>
      </c>
      <c r="AC154" s="36">
        <v>8.4977</v>
      </c>
      <c r="AD154" s="36">
        <v>8.4856999999999996</v>
      </c>
      <c r="AE154" s="37">
        <v>8.5020000000000007</v>
      </c>
      <c r="AF154" s="35">
        <v>6.9360999999999997</v>
      </c>
      <c r="AG154" s="36">
        <v>6.8952999999999998</v>
      </c>
      <c r="AH154" s="36">
        <v>6.8902999999999999</v>
      </c>
      <c r="AI154" s="36">
        <v>6.8735999999999997</v>
      </c>
      <c r="AJ154" s="36">
        <v>6.8704999999999998</v>
      </c>
      <c r="AK154" s="36">
        <v>6.8543000000000003</v>
      </c>
      <c r="AL154" s="36">
        <v>6.8559999999999999</v>
      </c>
      <c r="AM154" s="36">
        <v>8.8629999999999995</v>
      </c>
      <c r="AN154" s="36">
        <v>8.8739000000000008</v>
      </c>
      <c r="AO154" s="36">
        <v>6.8788999999999998</v>
      </c>
      <c r="AP154" s="36">
        <v>6.875</v>
      </c>
      <c r="AQ154" s="37">
        <v>6.8861999999999997</v>
      </c>
      <c r="AR154" s="35">
        <v>6.8925000000000001</v>
      </c>
      <c r="AS154" s="36">
        <v>6.8857999999999997</v>
      </c>
      <c r="AT154" s="36">
        <v>6.8826000000000001</v>
      </c>
      <c r="AU154" s="36">
        <v>6.8772000000000002</v>
      </c>
      <c r="AV154" s="36">
        <v>6.8879999999999999</v>
      </c>
      <c r="AW154" s="36">
        <v>6.8724999999999996</v>
      </c>
      <c r="AX154" s="36">
        <v>6.8555000000000001</v>
      </c>
      <c r="AY154" s="36">
        <v>6.8708999999999998</v>
      </c>
      <c r="AZ154" s="36">
        <v>6.8681000000000001</v>
      </c>
      <c r="BA154" s="36">
        <v>6.8315000000000001</v>
      </c>
      <c r="BB154" s="36">
        <v>6.8224</v>
      </c>
      <c r="BC154" s="37">
        <v>6.8015999999999996</v>
      </c>
      <c r="BD154" s="35">
        <v>6.8047000000000004</v>
      </c>
      <c r="BE154" s="36">
        <v>6.8262999999999998</v>
      </c>
      <c r="BF154" s="36">
        <v>7.5526999999999997</v>
      </c>
      <c r="BG154" s="36">
        <v>7.5479000000000003</v>
      </c>
      <c r="BH154" s="36">
        <v>7.5442</v>
      </c>
      <c r="BI154" s="36">
        <v>7.5591999999999997</v>
      </c>
      <c r="BJ154" s="36">
        <v>7.7102000000000004</v>
      </c>
      <c r="BK154" s="36">
        <v>7.6664000000000003</v>
      </c>
      <c r="BL154" s="36">
        <v>7.6364000000000001</v>
      </c>
      <c r="BM154" s="36">
        <v>7.6874000000000002</v>
      </c>
      <c r="BN154" s="36"/>
      <c r="BO154" s="37">
        <v>7.6879</v>
      </c>
      <c r="BP154" s="35">
        <v>9.7680000000000007</v>
      </c>
      <c r="BQ154" s="36">
        <v>10.392799999999999</v>
      </c>
      <c r="BR154" s="36">
        <v>7.7995999999999999</v>
      </c>
      <c r="BS154" s="36">
        <v>9.7743000000000002</v>
      </c>
      <c r="BT154" s="36">
        <v>10.4679</v>
      </c>
      <c r="BU154" s="36">
        <v>10.454499999999999</v>
      </c>
      <c r="BV154" s="36">
        <v>10.4536</v>
      </c>
      <c r="BW154" s="36">
        <v>10.4625</v>
      </c>
      <c r="BX154" s="36">
        <v>10.4557</v>
      </c>
      <c r="BY154" s="36">
        <v>10.4932</v>
      </c>
      <c r="BZ154" s="36">
        <v>10.497299999999999</v>
      </c>
      <c r="CA154" s="38">
        <v>10.495900000000001</v>
      </c>
      <c r="CB154" s="35">
        <v>10.466799999999999</v>
      </c>
      <c r="CC154" s="36">
        <v>10.450100000000001</v>
      </c>
      <c r="CD154" s="36">
        <v>10.435499999999999</v>
      </c>
      <c r="CE154" s="36">
        <v>11.8919</v>
      </c>
      <c r="CF154" s="36">
        <v>11.915100000000001</v>
      </c>
      <c r="CG154" s="36">
        <v>11.962400000000001</v>
      </c>
      <c r="CH154" s="36">
        <v>11.9976</v>
      </c>
      <c r="CI154" s="36">
        <v>11.9635</v>
      </c>
      <c r="CJ154" s="36">
        <v>11.9457</v>
      </c>
      <c r="CK154" s="36">
        <v>11.9686</v>
      </c>
      <c r="CL154" s="36">
        <v>11.55</v>
      </c>
      <c r="CM154" s="38">
        <v>11.7125</v>
      </c>
      <c r="CN154" s="36">
        <v>11.47</v>
      </c>
      <c r="CO154" s="36">
        <v>11.955500000000001</v>
      </c>
      <c r="CP154" s="36">
        <v>11.9116</v>
      </c>
      <c r="CQ154" s="36"/>
      <c r="CR154" s="36"/>
      <c r="CS154" s="36"/>
      <c r="CT154" s="36"/>
      <c r="CU154" s="36"/>
      <c r="CV154" s="36"/>
      <c r="CW154" s="36"/>
      <c r="CX154" s="36"/>
      <c r="CY154" s="36"/>
    </row>
    <row r="155" spans="1:103" ht="45" customHeight="1">
      <c r="A155" s="39">
        <v>139</v>
      </c>
      <c r="B155" s="40" t="s">
        <v>422</v>
      </c>
      <c r="C155" s="41" t="s">
        <v>423</v>
      </c>
      <c r="D155" s="41" t="s">
        <v>134</v>
      </c>
      <c r="E155" s="41" t="s">
        <v>121</v>
      </c>
      <c r="F155" s="41" t="s">
        <v>109</v>
      </c>
      <c r="G155" s="42" t="s">
        <v>110</v>
      </c>
      <c r="H155" s="35">
        <v>10.088699999999999</v>
      </c>
      <c r="I155" s="36">
        <v>9.9567999999999994</v>
      </c>
      <c r="J155" s="36">
        <v>10.051600000000001</v>
      </c>
      <c r="K155" s="36">
        <v>10.5893</v>
      </c>
      <c r="L155" s="36">
        <v>10.3529</v>
      </c>
      <c r="M155" s="36">
        <v>10.124000000000001</v>
      </c>
      <c r="N155" s="36">
        <v>10.2235</v>
      </c>
      <c r="O155" s="36">
        <v>10.295299999999999</v>
      </c>
      <c r="P155" s="36">
        <v>10.0509</v>
      </c>
      <c r="Q155" s="36">
        <v>10.0944</v>
      </c>
      <c r="R155" s="36">
        <v>10.3447</v>
      </c>
      <c r="S155" s="37">
        <v>10.4459</v>
      </c>
      <c r="T155" s="35">
        <v>10.668900000000001</v>
      </c>
      <c r="U155" s="36">
        <v>10.5174</v>
      </c>
      <c r="V155" s="36">
        <v>11.1242</v>
      </c>
      <c r="W155" s="36">
        <v>10.8155</v>
      </c>
      <c r="X155" s="36">
        <v>9.8457000000000008</v>
      </c>
      <c r="Y155" s="36">
        <v>9.3614999999999995</v>
      </c>
      <c r="Z155" s="36">
        <v>8.7453000000000003</v>
      </c>
      <c r="AA155" s="36">
        <v>8.8363999999999994</v>
      </c>
      <c r="AB155" s="36">
        <v>8.8224999999999998</v>
      </c>
      <c r="AC155" s="36">
        <v>8.7524999999999995</v>
      </c>
      <c r="AD155" s="36">
        <v>8.6716999999999995</v>
      </c>
      <c r="AE155" s="37">
        <v>9.1003000000000007</v>
      </c>
      <c r="AF155" s="35">
        <v>9.1304999999999996</v>
      </c>
      <c r="AG155" s="36">
        <v>8.2974999999999994</v>
      </c>
      <c r="AH155" s="36">
        <v>8.1868999999999996</v>
      </c>
      <c r="AI155" s="36">
        <v>8.2081999999999997</v>
      </c>
      <c r="AJ155" s="36">
        <v>7.5273000000000003</v>
      </c>
      <c r="AK155" s="36">
        <v>7.9230999999999998</v>
      </c>
      <c r="AL155" s="36">
        <v>7.8071999999999999</v>
      </c>
      <c r="AM155" s="36">
        <v>7.9977</v>
      </c>
      <c r="AN155" s="36">
        <v>7.7584</v>
      </c>
      <c r="AO155" s="36">
        <v>7.2545999999999999</v>
      </c>
      <c r="AP155" s="36">
        <v>7.5247000000000002</v>
      </c>
      <c r="AQ155" s="37">
        <v>7.4314999999999998</v>
      </c>
      <c r="AR155" s="35">
        <v>7.4085000000000001</v>
      </c>
      <c r="AS155" s="36">
        <v>7.4798</v>
      </c>
      <c r="AT155" s="36">
        <v>8.4718</v>
      </c>
      <c r="AU155" s="36">
        <v>8.4518000000000004</v>
      </c>
      <c r="AV155" s="36">
        <v>7.9752000000000001</v>
      </c>
      <c r="AW155" s="36">
        <v>7.7725999999999997</v>
      </c>
      <c r="AX155" s="36">
        <v>7.9966999999999997</v>
      </c>
      <c r="AY155" s="36">
        <v>9.0044000000000004</v>
      </c>
      <c r="AZ155" s="36">
        <v>8.8790999999999993</v>
      </c>
      <c r="BA155" s="36">
        <v>9.5005000000000006</v>
      </c>
      <c r="BB155" s="36">
        <v>10.101699999999999</v>
      </c>
      <c r="BC155" s="37">
        <v>10.580500000000001</v>
      </c>
      <c r="BD155" s="35">
        <v>11.5947</v>
      </c>
      <c r="BE155" s="36">
        <v>12.2088</v>
      </c>
      <c r="BF155" s="36">
        <v>13.218999999999999</v>
      </c>
      <c r="BG155" s="36">
        <v>11.931699999999999</v>
      </c>
      <c r="BH155" s="36">
        <v>11.795999999999999</v>
      </c>
      <c r="BI155" s="36">
        <v>12.389900000000001</v>
      </c>
      <c r="BJ155" s="36">
        <v>13.645899999999999</v>
      </c>
      <c r="BK155" s="36">
        <v>14.4171</v>
      </c>
      <c r="BL155" s="36">
        <v>13.8127</v>
      </c>
      <c r="BM155" s="36">
        <v>13.068099999999999</v>
      </c>
      <c r="BN155" s="36">
        <v>13.863899999999999</v>
      </c>
      <c r="BO155" s="37">
        <v>14.424200000000001</v>
      </c>
      <c r="BP155" s="35">
        <v>14.8284</v>
      </c>
      <c r="BQ155" s="36">
        <v>15.0623</v>
      </c>
      <c r="BR155" s="36">
        <v>15.5824</v>
      </c>
      <c r="BS155" s="36">
        <v>15.759399999999999</v>
      </c>
      <c r="BT155" s="36">
        <v>15.350300000000001</v>
      </c>
      <c r="BU155" s="36"/>
      <c r="BV155" s="36"/>
      <c r="BW155" s="36"/>
      <c r="BX155" s="36"/>
      <c r="BY155" s="36"/>
      <c r="BZ155" s="36"/>
      <c r="CA155" s="38"/>
      <c r="CB155" s="35"/>
      <c r="CC155" s="36"/>
      <c r="CD155" s="36"/>
      <c r="CE155" s="36">
        <v>11.87</v>
      </c>
      <c r="CF155" s="36">
        <v>11.76</v>
      </c>
      <c r="CG155" s="36">
        <v>12.29</v>
      </c>
      <c r="CH155" s="36">
        <v>12.27</v>
      </c>
      <c r="CI155" s="36">
        <v>12.49</v>
      </c>
      <c r="CJ155" s="36">
        <v>12.69</v>
      </c>
      <c r="CK155" s="36">
        <v>11.69</v>
      </c>
      <c r="CL155" s="36">
        <v>11.55</v>
      </c>
      <c r="CM155" s="38">
        <v>12.08</v>
      </c>
      <c r="CN155" s="54">
        <v>11.9512</v>
      </c>
      <c r="CO155" s="54">
        <v>12.02</v>
      </c>
      <c r="CP155" s="54"/>
      <c r="CQ155" s="54"/>
      <c r="CR155" s="54"/>
      <c r="CS155" s="54"/>
      <c r="CT155" s="54"/>
      <c r="CU155" s="54"/>
      <c r="CV155" s="54"/>
      <c r="CW155" s="54"/>
      <c r="CX155" s="54"/>
      <c r="CY155" s="54"/>
    </row>
    <row r="156" spans="1:103" ht="45" customHeight="1">
      <c r="A156" s="39">
        <v>43</v>
      </c>
      <c r="B156" s="40" t="s">
        <v>424</v>
      </c>
      <c r="C156" s="41" t="s">
        <v>425</v>
      </c>
      <c r="D156" s="41" t="s">
        <v>107</v>
      </c>
      <c r="E156" s="41" t="s">
        <v>135</v>
      </c>
      <c r="F156" s="41" t="s">
        <v>118</v>
      </c>
      <c r="G156" s="42" t="s">
        <v>114</v>
      </c>
      <c r="H156" s="35">
        <v>11.423299999999999</v>
      </c>
      <c r="I156" s="36">
        <v>11.3299</v>
      </c>
      <c r="J156" s="36">
        <v>11.8904</v>
      </c>
      <c r="K156" s="36">
        <v>12.1614</v>
      </c>
      <c r="L156" s="36">
        <v>12.1335</v>
      </c>
      <c r="M156" s="36">
        <v>11.9903</v>
      </c>
      <c r="N156" s="36">
        <v>12.117900000000001</v>
      </c>
      <c r="O156" s="36">
        <v>11.7247</v>
      </c>
      <c r="P156" s="36">
        <v>11.0867</v>
      </c>
      <c r="Q156" s="36">
        <v>11.3818</v>
      </c>
      <c r="R156" s="36">
        <v>11.6126</v>
      </c>
      <c r="S156" s="37">
        <v>11.5611</v>
      </c>
      <c r="T156" s="35">
        <v>11.324400000000001</v>
      </c>
      <c r="U156" s="36">
        <v>12.2462</v>
      </c>
      <c r="V156" s="36">
        <v>11.552300000000001</v>
      </c>
      <c r="W156" s="36">
        <v>11.429500000000001</v>
      </c>
      <c r="X156" s="36">
        <v>11.585900000000001</v>
      </c>
      <c r="Y156" s="36">
        <v>12.2753</v>
      </c>
      <c r="Z156" s="36">
        <v>10.74</v>
      </c>
      <c r="AA156" s="36">
        <v>11.815</v>
      </c>
      <c r="AB156" s="36">
        <v>12.266299999999999</v>
      </c>
      <c r="AC156" s="36">
        <v>11.716799999999999</v>
      </c>
      <c r="AD156" s="36">
        <v>12.1372</v>
      </c>
      <c r="AE156" s="37">
        <v>11.3903</v>
      </c>
      <c r="AF156" s="35">
        <v>11.6</v>
      </c>
      <c r="AG156" s="36">
        <v>11.2</v>
      </c>
      <c r="AH156" s="36">
        <v>11.31</v>
      </c>
      <c r="AI156" s="36">
        <v>11.02</v>
      </c>
      <c r="AJ156" s="36">
        <v>10.89</v>
      </c>
      <c r="AK156" s="36">
        <v>10.61</v>
      </c>
      <c r="AL156" s="36">
        <v>10.74</v>
      </c>
      <c r="AM156" s="36">
        <v>10.97</v>
      </c>
      <c r="AN156" s="36">
        <v>10.91</v>
      </c>
      <c r="AO156" s="36">
        <v>10.91</v>
      </c>
      <c r="AP156" s="36">
        <v>10.83</v>
      </c>
      <c r="AQ156" s="37">
        <v>10.75</v>
      </c>
      <c r="AR156" s="35">
        <v>11.28</v>
      </c>
      <c r="AS156" s="36">
        <v>11.47</v>
      </c>
      <c r="AT156" s="36">
        <v>11.51</v>
      </c>
      <c r="AU156" s="36">
        <v>11.96</v>
      </c>
      <c r="AV156" s="36">
        <v>11.22</v>
      </c>
      <c r="AW156" s="36">
        <v>11.83</v>
      </c>
      <c r="AX156" s="36">
        <v>12.22</v>
      </c>
      <c r="AY156" s="36">
        <v>12.02</v>
      </c>
      <c r="AZ156" s="36">
        <v>11.95</v>
      </c>
      <c r="BA156" s="36">
        <v>12.08</v>
      </c>
      <c r="BB156" s="36">
        <v>12.3</v>
      </c>
      <c r="BC156" s="37">
        <v>12.09</v>
      </c>
      <c r="BD156" s="35">
        <v>12.71</v>
      </c>
      <c r="BE156" s="36">
        <v>12.53</v>
      </c>
      <c r="BF156" s="36">
        <v>13.17</v>
      </c>
      <c r="BG156" s="36">
        <v>13.84</v>
      </c>
      <c r="BH156" s="36">
        <v>14</v>
      </c>
      <c r="BI156" s="36">
        <v>13.7</v>
      </c>
      <c r="BJ156" s="36">
        <v>14.35</v>
      </c>
      <c r="BK156" s="36">
        <v>15.24</v>
      </c>
      <c r="BL156" s="36">
        <v>15.37</v>
      </c>
      <c r="BM156" s="36">
        <v>15.87</v>
      </c>
      <c r="BN156" s="36">
        <v>16.399999999999999</v>
      </c>
      <c r="BO156" s="37">
        <v>16.350000000000001</v>
      </c>
      <c r="BP156" s="35">
        <v>16.079999999999998</v>
      </c>
      <c r="BQ156" s="36">
        <v>15.19</v>
      </c>
      <c r="BR156" s="47">
        <v>14.25</v>
      </c>
      <c r="BS156" s="36">
        <v>14.28</v>
      </c>
      <c r="BT156" s="36">
        <v>13.88</v>
      </c>
      <c r="BU156" s="36">
        <v>13.72</v>
      </c>
      <c r="BV156" s="36">
        <v>13.11</v>
      </c>
      <c r="BW156" s="36">
        <v>9.3699999999999992</v>
      </c>
      <c r="BX156" s="36">
        <v>12.27</v>
      </c>
      <c r="BY156" s="36">
        <v>12.01</v>
      </c>
      <c r="BZ156" s="36">
        <v>12.59</v>
      </c>
      <c r="CA156" s="38">
        <v>11.43</v>
      </c>
      <c r="CB156" s="48">
        <v>11.62</v>
      </c>
      <c r="CC156" s="44">
        <v>11.25</v>
      </c>
      <c r="CD156" s="44">
        <v>11.38</v>
      </c>
      <c r="CE156" s="44">
        <v>11.28</v>
      </c>
      <c r="CF156" s="45">
        <v>12.14</v>
      </c>
      <c r="CG156" s="45">
        <v>9.7100000000000009</v>
      </c>
      <c r="CH156" s="45">
        <v>13.27</v>
      </c>
      <c r="CI156" s="44">
        <v>12.56</v>
      </c>
      <c r="CJ156" s="44">
        <v>13.52</v>
      </c>
      <c r="CK156" s="44">
        <v>11.16</v>
      </c>
      <c r="CL156" s="44">
        <v>12.19</v>
      </c>
      <c r="CM156" s="46">
        <v>11.51</v>
      </c>
      <c r="CN156" s="36">
        <v>11.26</v>
      </c>
      <c r="CO156" s="44">
        <v>11.13</v>
      </c>
      <c r="CP156" s="44">
        <v>10.64</v>
      </c>
      <c r="CQ156" s="44"/>
      <c r="CR156" s="44"/>
      <c r="CS156" s="44"/>
      <c r="CT156" s="44"/>
      <c r="CU156" s="44"/>
      <c r="CV156" s="44"/>
      <c r="CW156" s="44"/>
      <c r="CX156" s="44"/>
      <c r="CY156" s="44"/>
    </row>
    <row r="157" spans="1:103" ht="45" customHeight="1" thickBot="1">
      <c r="A157" s="39">
        <v>85</v>
      </c>
      <c r="B157" s="40" t="s">
        <v>426</v>
      </c>
      <c r="C157" s="41" t="s">
        <v>427</v>
      </c>
      <c r="D157" s="41" t="s">
        <v>107</v>
      </c>
      <c r="E157" s="41" t="s">
        <v>428</v>
      </c>
      <c r="F157" s="41" t="s">
        <v>125</v>
      </c>
      <c r="G157" s="42" t="s">
        <v>110</v>
      </c>
      <c r="H157" s="107">
        <v>10.296200000000001</v>
      </c>
      <c r="I157" s="108">
        <v>10.762</v>
      </c>
      <c r="J157" s="108">
        <v>10.6052</v>
      </c>
      <c r="K157" s="108">
        <v>10.875400000000001</v>
      </c>
      <c r="L157" s="108">
        <v>10.4413</v>
      </c>
      <c r="M157" s="108">
        <v>10.1097</v>
      </c>
      <c r="N157" s="108">
        <v>10.3207</v>
      </c>
      <c r="O157" s="108">
        <v>9.4879999999999995</v>
      </c>
      <c r="P157" s="108">
        <v>8.9886999999999997</v>
      </c>
      <c r="Q157" s="108">
        <v>9.1915999999999993</v>
      </c>
      <c r="R157" s="108">
        <v>10.0542</v>
      </c>
      <c r="S157" s="109">
        <v>10.1045</v>
      </c>
      <c r="T157" s="107">
        <v>9.7540999999999993</v>
      </c>
      <c r="U157" s="108">
        <v>9.7942999999999998</v>
      </c>
      <c r="V157" s="108">
        <v>9.5686</v>
      </c>
      <c r="W157" s="108">
        <v>10.2256</v>
      </c>
      <c r="X157" s="108">
        <v>9.6332000000000004</v>
      </c>
      <c r="Y157" s="108">
        <v>9.1545000000000005</v>
      </c>
      <c r="Z157" s="108">
        <v>9.5467999999999993</v>
      </c>
      <c r="AA157" s="108">
        <v>10.0947</v>
      </c>
      <c r="AB157" s="108">
        <v>8.9609000000000005</v>
      </c>
      <c r="AC157" s="108">
        <v>9.7965999999999998</v>
      </c>
      <c r="AD157" s="108">
        <v>10.507199999999999</v>
      </c>
      <c r="AE157" s="109">
        <v>10.7857</v>
      </c>
      <c r="AF157" s="107">
        <v>10.3828</v>
      </c>
      <c r="AG157" s="108">
        <v>10.9125</v>
      </c>
      <c r="AH157" s="108">
        <v>10.1936</v>
      </c>
      <c r="AI157" s="108">
        <v>10.043900000000001</v>
      </c>
      <c r="AJ157" s="108">
        <v>9.6922999999999995</v>
      </c>
      <c r="AK157" s="108">
        <v>9.5159000000000002</v>
      </c>
      <c r="AL157" s="108">
        <v>9.5695999999999994</v>
      </c>
      <c r="AM157" s="108">
        <v>10.351000000000001</v>
      </c>
      <c r="AN157" s="108">
        <v>9.5649999999999995</v>
      </c>
      <c r="AO157" s="108">
        <v>9.5340000000000007</v>
      </c>
      <c r="AP157" s="108">
        <v>9.8611000000000004</v>
      </c>
      <c r="AQ157" s="109">
        <v>9.2346000000000004</v>
      </c>
      <c r="AR157" s="107">
        <v>9.5257000000000005</v>
      </c>
      <c r="AS157" s="108">
        <v>9.2317</v>
      </c>
      <c r="AT157" s="108">
        <v>9.2611000000000008</v>
      </c>
      <c r="AU157" s="108">
        <v>9.8478999999999992</v>
      </c>
      <c r="AV157" s="108">
        <v>9.6349999999999998</v>
      </c>
      <c r="AW157" s="108">
        <v>9.8383000000000003</v>
      </c>
      <c r="AX157" s="108">
        <v>9.8914000000000009</v>
      </c>
      <c r="AY157" s="108">
        <v>10.296099999999999</v>
      </c>
      <c r="AZ157" s="108">
        <v>10.174799999999999</v>
      </c>
      <c r="BA157" s="108">
        <v>10.888400000000001</v>
      </c>
      <c r="BB157" s="108">
        <v>11.628399999999999</v>
      </c>
      <c r="BC157" s="109">
        <v>11.7385</v>
      </c>
      <c r="BD157" s="107">
        <v>12.1225</v>
      </c>
      <c r="BE157" s="108">
        <v>12.3238</v>
      </c>
      <c r="BF157" s="108">
        <v>11.209899999999999</v>
      </c>
      <c r="BG157" s="108">
        <v>11.1951</v>
      </c>
      <c r="BH157" s="108">
        <v>11.3733</v>
      </c>
      <c r="BI157" s="108">
        <v>11.858000000000001</v>
      </c>
      <c r="BJ157" s="108">
        <v>13.062900000000001</v>
      </c>
      <c r="BK157" s="108">
        <v>14.089600000000001</v>
      </c>
      <c r="BL157" s="108">
        <v>14.2829</v>
      </c>
      <c r="BM157" s="108">
        <v>13.908200000000001</v>
      </c>
      <c r="BN157" s="108">
        <v>13.177300000000001</v>
      </c>
      <c r="BO157" s="109">
        <v>12.9849</v>
      </c>
      <c r="BP157" s="107">
        <v>12.407400000000001</v>
      </c>
      <c r="BQ157" s="108">
        <v>12.7128</v>
      </c>
      <c r="BR157" s="108">
        <v>12.294700000000001</v>
      </c>
      <c r="BS157" s="108">
        <v>12.3089</v>
      </c>
      <c r="BT157" s="108">
        <v>11.3117</v>
      </c>
      <c r="BU157" s="108">
        <v>11.689399999999999</v>
      </c>
      <c r="BV157" s="108">
        <v>11.1022</v>
      </c>
      <c r="BW157" s="108">
        <v>10.303800000000001</v>
      </c>
      <c r="BX157" s="108">
        <v>10.5412</v>
      </c>
      <c r="BY157" s="108"/>
      <c r="BZ157" s="108">
        <v>10.239000000000001</v>
      </c>
      <c r="CA157" s="110">
        <v>10.1273</v>
      </c>
      <c r="CB157" s="52">
        <v>8.8579000000000008</v>
      </c>
      <c r="CC157" s="36">
        <v>10.553800000000001</v>
      </c>
      <c r="CD157" s="45">
        <v>10.3908</v>
      </c>
      <c r="CE157" s="45">
        <v>10.1501</v>
      </c>
      <c r="CF157" s="45">
        <v>10.9581</v>
      </c>
      <c r="CG157" s="36">
        <v>9.8080999999999996</v>
      </c>
      <c r="CH157" s="36">
        <v>11.3925</v>
      </c>
      <c r="CI157" s="36">
        <v>11.0929</v>
      </c>
      <c r="CJ157" s="36">
        <v>10.6853</v>
      </c>
      <c r="CK157" s="45">
        <v>10.5128</v>
      </c>
      <c r="CL157" s="45">
        <v>10.692</v>
      </c>
      <c r="CM157" s="50">
        <v>10.9152</v>
      </c>
      <c r="CN157" s="111">
        <v>10.857900000000001</v>
      </c>
      <c r="CO157" s="80">
        <v>10.4422</v>
      </c>
      <c r="CP157" s="80">
        <v>10.284700000000001</v>
      </c>
      <c r="CQ157" s="80"/>
      <c r="CR157" s="80"/>
      <c r="CS157" s="80"/>
      <c r="CT157" s="80"/>
      <c r="CU157" s="80"/>
      <c r="CV157" s="80"/>
      <c r="CW157" s="80"/>
      <c r="CX157" s="80"/>
      <c r="CY157" s="95"/>
    </row>
    <row r="158" spans="1:103" ht="45" customHeight="1">
      <c r="A158" s="39">
        <v>140</v>
      </c>
      <c r="B158" s="112" t="s">
        <v>429</v>
      </c>
      <c r="C158" s="113" t="s">
        <v>430</v>
      </c>
      <c r="D158" s="113" t="s">
        <v>107</v>
      </c>
      <c r="E158" s="113" t="s">
        <v>113</v>
      </c>
      <c r="F158" s="113" t="s">
        <v>109</v>
      </c>
      <c r="G158" s="114" t="s">
        <v>110</v>
      </c>
      <c r="H158" s="115"/>
      <c r="I158" s="54"/>
      <c r="J158" s="54"/>
      <c r="K158" s="54"/>
      <c r="L158" s="54"/>
      <c r="M158" s="54"/>
      <c r="N158" s="54"/>
      <c r="O158" s="54"/>
      <c r="P158" s="54"/>
      <c r="Q158" s="54"/>
      <c r="R158" s="54"/>
      <c r="S158" s="54"/>
      <c r="T158" s="116"/>
      <c r="U158" s="54"/>
      <c r="V158" s="54"/>
      <c r="W158" s="54"/>
      <c r="X158" s="54"/>
      <c r="Y158" s="54"/>
      <c r="Z158" s="54"/>
      <c r="AA158" s="54"/>
      <c r="AB158" s="54"/>
      <c r="AC158" s="54"/>
      <c r="AD158" s="54"/>
      <c r="AE158" s="54"/>
      <c r="AF158" s="116">
        <v>9.2501999999999995</v>
      </c>
      <c r="AG158" s="54">
        <v>8.9044000000000008</v>
      </c>
      <c r="AH158" s="54">
        <v>8.6885999999999992</v>
      </c>
      <c r="AI158" s="54">
        <v>8.5648</v>
      </c>
      <c r="AJ158" s="54">
        <v>8.6427999999999994</v>
      </c>
      <c r="AK158" s="54">
        <v>8.6580999999999992</v>
      </c>
      <c r="AL158" s="54">
        <v>8.5263000000000009</v>
      </c>
      <c r="AM158" s="54">
        <v>8.3511000000000006</v>
      </c>
      <c r="AN158" s="54">
        <v>8.1744000000000003</v>
      </c>
      <c r="AO158" s="54">
        <v>8.1775000000000002</v>
      </c>
      <c r="AP158" s="54">
        <v>8.3323</v>
      </c>
      <c r="AQ158" s="54">
        <v>8.0943000000000005</v>
      </c>
      <c r="AR158" s="116">
        <v>7.9821</v>
      </c>
      <c r="AS158" s="54">
        <v>8.2416</v>
      </c>
      <c r="AT158" s="54">
        <v>8.4489999999999998</v>
      </c>
      <c r="AU158" s="54">
        <v>8.2794000000000008</v>
      </c>
      <c r="AV158" s="54">
        <v>9.2201000000000004</v>
      </c>
      <c r="AW158" s="54">
        <v>9.2240000000000002</v>
      </c>
      <c r="AX158" s="54">
        <v>9.0108999999999995</v>
      </c>
      <c r="AY158" s="54">
        <v>9.9109999999999996</v>
      </c>
      <c r="AZ158" s="54">
        <v>9.9506999999999994</v>
      </c>
      <c r="BA158" s="54">
        <v>10.026199999999999</v>
      </c>
      <c r="BB158" s="54">
        <v>11.7765</v>
      </c>
      <c r="BC158" s="54">
        <v>11.170999999999999</v>
      </c>
      <c r="BD158" s="116">
        <v>11.344900000000001</v>
      </c>
      <c r="BE158" s="54">
        <v>13.0785</v>
      </c>
      <c r="BF158" s="54">
        <v>12.816599999999999</v>
      </c>
      <c r="BG158" s="54">
        <v>12.6846</v>
      </c>
      <c r="BH158" s="54">
        <v>14.356199999999999</v>
      </c>
      <c r="BI158" s="54">
        <v>14.442500000000001</v>
      </c>
      <c r="BJ158" s="54">
        <v>14.3948</v>
      </c>
      <c r="BK158" s="54">
        <v>18.325900000000001</v>
      </c>
      <c r="BL158" s="54">
        <v>14.714399999999999</v>
      </c>
      <c r="BM158" s="54">
        <v>14.702</v>
      </c>
      <c r="BN158" s="54">
        <v>14.624000000000001</v>
      </c>
      <c r="BO158" s="54">
        <v>14.615500000000001</v>
      </c>
      <c r="BP158" s="116">
        <v>15.9025</v>
      </c>
      <c r="BQ158" s="54">
        <v>19.526599999999998</v>
      </c>
      <c r="BR158" s="54">
        <v>12.383900000000001</v>
      </c>
      <c r="BS158" s="54">
        <v>14.904400000000001</v>
      </c>
      <c r="BT158" s="54">
        <v>14.065899999999999</v>
      </c>
      <c r="BU158" s="54">
        <v>13.513299999999999</v>
      </c>
      <c r="BV158" s="54">
        <v>14.332700000000001</v>
      </c>
      <c r="BW158" s="54">
        <v>14.6693</v>
      </c>
      <c r="BX158" s="54"/>
      <c r="BY158" s="54"/>
      <c r="BZ158" s="54">
        <v>14.331099999999999</v>
      </c>
      <c r="CA158" s="117">
        <v>13.975199999999999</v>
      </c>
      <c r="CB158" s="35">
        <v>14.139699999999999</v>
      </c>
      <c r="CC158" s="36">
        <v>12.370100000000001</v>
      </c>
      <c r="CD158" s="36">
        <v>13.164299999999999</v>
      </c>
      <c r="CE158" s="36">
        <v>12.1143</v>
      </c>
      <c r="CF158" s="36">
        <v>7.4385000000000003</v>
      </c>
      <c r="CG158" s="36">
        <f>11.3-1.4476</f>
        <v>9.8524000000000012</v>
      </c>
      <c r="CH158" s="36">
        <v>11.043900000000001</v>
      </c>
      <c r="CI158" s="36">
        <v>10.659800000000001</v>
      </c>
      <c r="CJ158" s="36">
        <v>10.8864</v>
      </c>
      <c r="CK158" s="36">
        <v>10.881</v>
      </c>
      <c r="CL158" s="36">
        <v>10.4993</v>
      </c>
      <c r="CM158" s="38">
        <v>8.3909000000000002</v>
      </c>
      <c r="CN158" s="36">
        <v>4.6734999999999998</v>
      </c>
      <c r="CO158" s="36">
        <v>6.7413999999999996</v>
      </c>
      <c r="CP158" s="36">
        <v>6.6776999999999997</v>
      </c>
      <c r="CQ158" s="36"/>
      <c r="CR158" s="36"/>
      <c r="CS158" s="36"/>
      <c r="CT158" s="36"/>
      <c r="CU158" s="36"/>
      <c r="CV158" s="36"/>
      <c r="CW158" s="36"/>
      <c r="CX158" s="36"/>
      <c r="CY158" s="36"/>
    </row>
    <row r="159" spans="1:103" ht="45" customHeight="1">
      <c r="A159" s="39">
        <v>72</v>
      </c>
      <c r="B159" s="112" t="s">
        <v>431</v>
      </c>
      <c r="C159" s="113" t="s">
        <v>432</v>
      </c>
      <c r="D159" s="113" t="s">
        <v>107</v>
      </c>
      <c r="E159" s="113" t="s">
        <v>113</v>
      </c>
      <c r="F159" s="113" t="s">
        <v>109</v>
      </c>
      <c r="G159" s="114" t="s">
        <v>110</v>
      </c>
      <c r="H159" s="115"/>
      <c r="I159" s="54"/>
      <c r="J159" s="54"/>
      <c r="K159" s="54"/>
      <c r="L159" s="54"/>
      <c r="M159" s="54"/>
      <c r="N159" s="54"/>
      <c r="O159" s="54"/>
      <c r="P159" s="54"/>
      <c r="Q159" s="54"/>
      <c r="R159" s="54"/>
      <c r="S159" s="54"/>
      <c r="T159" s="116"/>
      <c r="U159" s="54"/>
      <c r="V159" s="54"/>
      <c r="W159" s="54"/>
      <c r="X159" s="54"/>
      <c r="Y159" s="54"/>
      <c r="Z159" s="54"/>
      <c r="AA159" s="54"/>
      <c r="AB159" s="54"/>
      <c r="AC159" s="54"/>
      <c r="AD159" s="54"/>
      <c r="AE159" s="54"/>
      <c r="AF159" s="116"/>
      <c r="AG159" s="54"/>
      <c r="AH159" s="54"/>
      <c r="AI159" s="54"/>
      <c r="AJ159" s="54"/>
      <c r="AK159" s="54"/>
      <c r="AL159" s="54"/>
      <c r="AM159" s="54"/>
      <c r="AN159" s="54"/>
      <c r="AO159" s="54"/>
      <c r="AP159" s="54"/>
      <c r="AQ159" s="54"/>
      <c r="AR159" s="116"/>
      <c r="AS159" s="54"/>
      <c r="AT159" s="54"/>
      <c r="AU159" s="54"/>
      <c r="AV159" s="54"/>
      <c r="AW159" s="54"/>
      <c r="AX159" s="54"/>
      <c r="AY159" s="54"/>
      <c r="AZ159" s="54"/>
      <c r="BA159" s="54"/>
      <c r="BB159" s="54"/>
      <c r="BC159" s="54"/>
      <c r="BD159" s="116">
        <v>13.2858</v>
      </c>
      <c r="BE159" s="54">
        <v>13.935600000000001</v>
      </c>
      <c r="BF159" s="54">
        <v>13.9415</v>
      </c>
      <c r="BG159" s="54">
        <v>14.672700000000001</v>
      </c>
      <c r="BH159" s="54">
        <v>16.246099999999998</v>
      </c>
      <c r="BI159" s="54">
        <v>16.728200000000001</v>
      </c>
      <c r="BJ159" s="54">
        <v>17.225100000000001</v>
      </c>
      <c r="BK159" s="54">
        <v>20.4756</v>
      </c>
      <c r="BL159" s="54">
        <v>15.0267</v>
      </c>
      <c r="BM159" s="54">
        <v>14.966799999999999</v>
      </c>
      <c r="BN159" s="54">
        <v>15.1873</v>
      </c>
      <c r="BO159" s="54">
        <v>15.031000000000001</v>
      </c>
      <c r="BP159" s="116">
        <v>16.553599999999999</v>
      </c>
      <c r="BQ159" s="54">
        <v>19.912800000000001</v>
      </c>
      <c r="BR159" s="54">
        <v>12.397500000000001</v>
      </c>
      <c r="BS159" s="54">
        <v>14.860099999999999</v>
      </c>
      <c r="BT159" s="54">
        <f>9.2014+1.5262+1.464</f>
        <v>12.191599999999999</v>
      </c>
      <c r="BU159" s="54">
        <f>9.1997+1.1579+1.464</f>
        <v>11.8216</v>
      </c>
      <c r="BV159" s="54">
        <f>9.1896+1.5446+1.464+2.0166</f>
        <v>14.214800000000002</v>
      </c>
      <c r="BW159" s="54">
        <f>9.1965+1.5495+1.4642+2.0269</f>
        <v>14.2371</v>
      </c>
      <c r="BX159" s="54"/>
      <c r="BY159" s="54"/>
      <c r="BZ159" s="54"/>
      <c r="CA159" s="117"/>
      <c r="CB159" s="35"/>
      <c r="CC159" s="36"/>
      <c r="CD159" s="36"/>
      <c r="CE159" s="36"/>
      <c r="CF159" s="36"/>
      <c r="CG159" s="36"/>
      <c r="CH159" s="36"/>
      <c r="CI159" s="36"/>
      <c r="CJ159" s="36"/>
      <c r="CK159" s="36"/>
      <c r="CL159" s="36"/>
      <c r="CM159" s="38"/>
      <c r="CN159" s="36"/>
      <c r="CO159" s="36"/>
      <c r="CP159" s="36"/>
      <c r="CQ159" s="36"/>
      <c r="CR159" s="36"/>
      <c r="CS159" s="36"/>
      <c r="CT159" s="36"/>
      <c r="CU159" s="36"/>
      <c r="CV159" s="36"/>
      <c r="CW159" s="36"/>
      <c r="CX159" s="36"/>
      <c r="CY159" s="36"/>
    </row>
    <row r="160" spans="1:103" ht="45" customHeight="1">
      <c r="A160" s="39">
        <v>95</v>
      </c>
      <c r="B160" s="112" t="s">
        <v>433</v>
      </c>
      <c r="C160" s="113" t="s">
        <v>434</v>
      </c>
      <c r="D160" s="113" t="s">
        <v>107</v>
      </c>
      <c r="E160" s="113" t="s">
        <v>428</v>
      </c>
      <c r="F160" s="113" t="s">
        <v>125</v>
      </c>
      <c r="G160" s="114" t="s">
        <v>110</v>
      </c>
      <c r="H160" s="115"/>
      <c r="I160" s="54"/>
      <c r="J160" s="54"/>
      <c r="K160" s="54"/>
      <c r="L160" s="54"/>
      <c r="M160" s="54"/>
      <c r="N160" s="54"/>
      <c r="O160" s="54"/>
      <c r="P160" s="54"/>
      <c r="Q160" s="54"/>
      <c r="R160" s="54"/>
      <c r="S160" s="54"/>
      <c r="T160" s="116"/>
      <c r="U160" s="54"/>
      <c r="V160" s="54"/>
      <c r="W160" s="54"/>
      <c r="X160" s="54"/>
      <c r="Y160" s="54"/>
      <c r="Z160" s="54"/>
      <c r="AA160" s="54"/>
      <c r="AB160" s="54"/>
      <c r="AC160" s="54"/>
      <c r="AD160" s="54"/>
      <c r="AE160" s="54"/>
      <c r="AF160" s="116"/>
      <c r="AG160" s="54"/>
      <c r="AH160" s="54"/>
      <c r="AI160" s="54"/>
      <c r="AJ160" s="54"/>
      <c r="AK160" s="54"/>
      <c r="AL160" s="54"/>
      <c r="AM160" s="54"/>
      <c r="AN160" s="54"/>
      <c r="AO160" s="54"/>
      <c r="AP160" s="54"/>
      <c r="AQ160" s="54"/>
      <c r="AR160" s="116"/>
      <c r="AS160" s="54"/>
      <c r="AT160" s="54"/>
      <c r="AU160" s="54"/>
      <c r="AV160" s="54"/>
      <c r="AW160" s="54"/>
      <c r="AX160" s="54"/>
      <c r="AY160" s="54"/>
      <c r="AZ160" s="54"/>
      <c r="BA160" s="54"/>
      <c r="BB160" s="54"/>
      <c r="BC160" s="54"/>
      <c r="BD160" s="116"/>
      <c r="BE160" s="54"/>
      <c r="BF160" s="54"/>
      <c r="BG160" s="54"/>
      <c r="BH160" s="54"/>
      <c r="BI160" s="54"/>
      <c r="BJ160" s="54"/>
      <c r="BK160" s="54"/>
      <c r="BL160" s="54"/>
      <c r="BM160" s="54"/>
      <c r="BN160" s="54"/>
      <c r="BO160" s="116"/>
      <c r="BP160" s="116">
        <v>11.3649</v>
      </c>
      <c r="BQ160" s="54">
        <v>11.5687</v>
      </c>
      <c r="BR160" s="54">
        <v>11.0648</v>
      </c>
      <c r="BS160" s="54">
        <v>10.3483</v>
      </c>
      <c r="BT160" s="54">
        <v>9.8413000000000004</v>
      </c>
      <c r="BU160" s="54">
        <v>9.3145000000000007</v>
      </c>
      <c r="BV160" s="54">
        <v>13.64</v>
      </c>
      <c r="BW160" s="54">
        <v>13.21</v>
      </c>
      <c r="BX160" s="54">
        <v>12.94</v>
      </c>
      <c r="BY160" s="54">
        <v>11.79</v>
      </c>
      <c r="BZ160" s="54">
        <v>8.0500000000000007</v>
      </c>
      <c r="CA160" s="117">
        <v>11.95</v>
      </c>
      <c r="CB160" s="35">
        <v>11.76</v>
      </c>
      <c r="CC160" s="36"/>
      <c r="CD160" s="36"/>
      <c r="CE160" s="36"/>
      <c r="CF160" s="36"/>
      <c r="CG160" s="36"/>
      <c r="CH160" s="36"/>
      <c r="CI160" s="36"/>
      <c r="CJ160" s="36"/>
      <c r="CK160" s="36"/>
      <c r="CL160" s="36"/>
      <c r="CM160" s="38"/>
      <c r="CN160" s="118"/>
      <c r="CO160" s="70"/>
      <c r="CP160" s="70"/>
      <c r="CQ160" s="70"/>
      <c r="CR160" s="70"/>
      <c r="CS160" s="70"/>
      <c r="CT160" s="70"/>
      <c r="CU160" s="70"/>
      <c r="CV160" s="70"/>
      <c r="CW160" s="70"/>
      <c r="CX160" s="70"/>
      <c r="CY160" s="119"/>
    </row>
    <row r="161" spans="1:103" ht="45" customHeight="1">
      <c r="A161" s="39">
        <v>141</v>
      </c>
      <c r="B161" s="112" t="s">
        <v>435</v>
      </c>
      <c r="C161" s="113" t="s">
        <v>436</v>
      </c>
      <c r="D161" s="113" t="s">
        <v>107</v>
      </c>
      <c r="E161" s="113" t="s">
        <v>428</v>
      </c>
      <c r="F161" s="113" t="s">
        <v>125</v>
      </c>
      <c r="G161" s="114" t="s">
        <v>110</v>
      </c>
      <c r="H161" s="115">
        <v>11.4343</v>
      </c>
      <c r="I161" s="54">
        <v>10.814</v>
      </c>
      <c r="J161" s="54">
        <v>10.555</v>
      </c>
      <c r="K161" s="54">
        <v>10.43</v>
      </c>
      <c r="L161" s="54">
        <v>10.6065</v>
      </c>
      <c r="M161" s="54">
        <v>10.658799999999999</v>
      </c>
      <c r="N161" s="54">
        <v>10.673</v>
      </c>
      <c r="O161" s="54">
        <v>10.9686</v>
      </c>
      <c r="P161" s="54">
        <v>10.8986</v>
      </c>
      <c r="Q161" s="54">
        <v>10.9633</v>
      </c>
      <c r="R161" s="54">
        <v>10.478400000000001</v>
      </c>
      <c r="S161" s="54">
        <v>10.302</v>
      </c>
      <c r="T161" s="116">
        <v>9.8960000000000008</v>
      </c>
      <c r="U161" s="54">
        <v>10.000500000000001</v>
      </c>
      <c r="V161" s="54">
        <v>9.8823000000000008</v>
      </c>
      <c r="W161" s="54">
        <v>10.038500000000001</v>
      </c>
      <c r="X161" s="54">
        <v>10.0252</v>
      </c>
      <c r="Y161" s="54">
        <v>10.2316</v>
      </c>
      <c r="Z161" s="54">
        <v>9.0741999999999994</v>
      </c>
      <c r="AA161" s="54">
        <v>8.6103000000000005</v>
      </c>
      <c r="AB161" s="54">
        <v>9.4867000000000008</v>
      </c>
      <c r="AC161" s="54">
        <v>10.5123</v>
      </c>
      <c r="AD161" s="54">
        <v>10.0169</v>
      </c>
      <c r="AE161" s="54">
        <v>10.1166</v>
      </c>
      <c r="AF161" s="116">
        <v>9.5454000000000008</v>
      </c>
      <c r="AG161" s="54">
        <v>10.3734</v>
      </c>
      <c r="AH161" s="54">
        <v>10.292</v>
      </c>
      <c r="AI161" s="54">
        <v>10.2288</v>
      </c>
      <c r="AJ161" s="54">
        <v>9.7492000000000001</v>
      </c>
      <c r="AK161" s="54">
        <v>10.5678</v>
      </c>
      <c r="AL161" s="54">
        <v>10.549899999999999</v>
      </c>
      <c r="AM161" s="54">
        <v>12.355</v>
      </c>
      <c r="AN161" s="54">
        <v>10.7372</v>
      </c>
      <c r="AO161" s="54">
        <v>9.9610000000000003</v>
      </c>
      <c r="AP161" s="54">
        <v>10.217700000000001</v>
      </c>
      <c r="AQ161" s="54">
        <v>9.9558</v>
      </c>
      <c r="AR161" s="116">
        <v>9.5424000000000007</v>
      </c>
      <c r="AS161" s="54">
        <v>9.5371000000000006</v>
      </c>
      <c r="AT161" s="54">
        <v>10.473800000000001</v>
      </c>
      <c r="AU161" s="54">
        <v>10.371700000000001</v>
      </c>
      <c r="AV161" s="54">
        <v>9.7550000000000008</v>
      </c>
      <c r="AW161" s="54">
        <v>9.7051999999999996</v>
      </c>
      <c r="AX161" s="54">
        <v>10.179600000000001</v>
      </c>
      <c r="AY161" s="54">
        <v>11.135400000000001</v>
      </c>
      <c r="AZ161" s="54">
        <v>11.228400000000001</v>
      </c>
      <c r="BA161" s="54">
        <v>12.135</v>
      </c>
      <c r="BB161" s="54">
        <v>11.8782</v>
      </c>
      <c r="BC161" s="54">
        <v>12.744300000000001</v>
      </c>
      <c r="BD161" s="116">
        <v>12.569100000000001</v>
      </c>
      <c r="BE161" s="54">
        <v>12.247400000000001</v>
      </c>
      <c r="BF161" s="54">
        <v>13.063000000000001</v>
      </c>
      <c r="BG161" s="54">
        <v>12.856999999999999</v>
      </c>
      <c r="BH161" s="54">
        <v>12.949</v>
      </c>
      <c r="BI161" s="54">
        <v>13.259</v>
      </c>
      <c r="BJ161" s="54">
        <v>14.4841</v>
      </c>
      <c r="BK161" s="54">
        <v>16.6006</v>
      </c>
      <c r="BL161" s="54">
        <v>16.322099999999999</v>
      </c>
      <c r="BM161" s="54">
        <v>14.1244</v>
      </c>
      <c r="BN161" s="54">
        <v>14.0161</v>
      </c>
      <c r="BO161" s="54">
        <v>14.3498</v>
      </c>
      <c r="BP161" s="116">
        <v>14.8843</v>
      </c>
      <c r="BQ161" s="54">
        <v>15.205399999999999</v>
      </c>
      <c r="BR161" s="120">
        <v>14.7333</v>
      </c>
      <c r="BS161" s="54">
        <v>14.760999999999999</v>
      </c>
      <c r="BT161" s="54">
        <v>13.808</v>
      </c>
      <c r="BU161" s="54">
        <v>12.43</v>
      </c>
      <c r="BV161" s="54">
        <v>11.077999999999999</v>
      </c>
      <c r="BW161" s="54">
        <v>10.8721</v>
      </c>
      <c r="BX161" s="54">
        <v>12.125400000000001</v>
      </c>
      <c r="BY161" s="54">
        <v>11.046799999999999</v>
      </c>
      <c r="BZ161" s="54">
        <v>10.4694</v>
      </c>
      <c r="CA161" s="117">
        <v>9.7202999999999999</v>
      </c>
      <c r="CB161" s="63">
        <v>9.7728999999999999</v>
      </c>
      <c r="CC161" s="36">
        <v>9.6908999999999992</v>
      </c>
      <c r="CD161" s="45">
        <v>9.5850000000000009</v>
      </c>
      <c r="CE161" s="36">
        <v>9.9513999999999996</v>
      </c>
      <c r="CF161" s="45">
        <v>11.2418</v>
      </c>
      <c r="CG161" s="36">
        <v>11.872299999999999</v>
      </c>
      <c r="CH161" s="36">
        <v>9.7449999999999992</v>
      </c>
      <c r="CI161" s="36">
        <v>10.2723</v>
      </c>
      <c r="CJ161" s="36">
        <v>8.6851000000000003</v>
      </c>
      <c r="CK161" s="36"/>
      <c r="CL161" s="36">
        <v>10.349500000000001</v>
      </c>
      <c r="CM161" s="38">
        <v>10.1249</v>
      </c>
      <c r="CN161" s="121">
        <v>10.1249</v>
      </c>
      <c r="CO161" s="36">
        <v>9.0909999999999993</v>
      </c>
      <c r="CP161" s="36">
        <v>9.2344000000000008</v>
      </c>
      <c r="CQ161" s="36"/>
      <c r="CR161" s="36"/>
      <c r="CS161" s="36"/>
      <c r="CT161" s="36"/>
      <c r="CU161" s="36"/>
      <c r="CV161" s="36"/>
      <c r="CW161" s="36"/>
      <c r="CX161" s="36"/>
      <c r="CY161" s="37"/>
    </row>
    <row r="162" spans="1:103" ht="45" customHeight="1" thickBot="1">
      <c r="A162" s="39">
        <v>83</v>
      </c>
      <c r="B162" s="112" t="s">
        <v>437</v>
      </c>
      <c r="C162" s="113" t="s">
        <v>438</v>
      </c>
      <c r="D162" s="113" t="s">
        <v>107</v>
      </c>
      <c r="E162" s="113" t="s">
        <v>428</v>
      </c>
      <c r="F162" s="113" t="s">
        <v>125</v>
      </c>
      <c r="G162" s="114" t="s">
        <v>110</v>
      </c>
      <c r="H162" s="115"/>
      <c r="I162" s="54"/>
      <c r="J162" s="54"/>
      <c r="K162" s="54"/>
      <c r="L162" s="54"/>
      <c r="M162" s="54"/>
      <c r="N162" s="54"/>
      <c r="O162" s="54"/>
      <c r="P162" s="54"/>
      <c r="Q162" s="54"/>
      <c r="R162" s="54"/>
      <c r="S162" s="54"/>
      <c r="T162" s="116"/>
      <c r="U162" s="54"/>
      <c r="V162" s="54"/>
      <c r="W162" s="54"/>
      <c r="X162" s="54"/>
      <c r="Y162" s="54"/>
      <c r="Z162" s="54"/>
      <c r="AA162" s="54"/>
      <c r="AB162" s="54"/>
      <c r="AC162" s="54"/>
      <c r="AD162" s="54"/>
      <c r="AE162" s="54"/>
      <c r="AF162" s="116"/>
      <c r="AG162" s="54"/>
      <c r="AH162" s="54"/>
      <c r="AI162" s="54"/>
      <c r="AJ162" s="54"/>
      <c r="AK162" s="54"/>
      <c r="AL162" s="54"/>
      <c r="AM162" s="54"/>
      <c r="AN162" s="54"/>
      <c r="AO162" s="54"/>
      <c r="AP162" s="54"/>
      <c r="AQ162" s="54"/>
      <c r="AR162" s="116"/>
      <c r="AS162" s="54"/>
      <c r="AT162" s="54"/>
      <c r="AU162" s="54"/>
      <c r="AV162" s="54"/>
      <c r="AW162" s="54"/>
      <c r="AX162" s="54"/>
      <c r="AY162" s="54"/>
      <c r="AZ162" s="54"/>
      <c r="BA162" s="54"/>
      <c r="BB162" s="54"/>
      <c r="BC162" s="54"/>
      <c r="BD162" s="116"/>
      <c r="BE162" s="54"/>
      <c r="BF162" s="54"/>
      <c r="BG162" s="54"/>
      <c r="BH162" s="54"/>
      <c r="BI162" s="54"/>
      <c r="BJ162" s="54"/>
      <c r="BK162" s="54"/>
      <c r="BL162" s="54"/>
      <c r="BM162" s="54"/>
      <c r="BN162" s="54"/>
      <c r="BO162" s="54"/>
      <c r="BP162" s="116">
        <v>15.7201</v>
      </c>
      <c r="BQ162" s="54">
        <v>16.398</v>
      </c>
      <c r="BR162" s="54">
        <v>16.077400000000001</v>
      </c>
      <c r="BS162" s="54">
        <v>15.2119</v>
      </c>
      <c r="BT162" s="54">
        <v>14.2494</v>
      </c>
      <c r="BU162" s="54">
        <v>13.086399999999999</v>
      </c>
      <c r="BV162" s="54">
        <v>11.3218</v>
      </c>
      <c r="BW162" s="54">
        <v>10.2964</v>
      </c>
      <c r="BX162" s="54">
        <v>9.7020999999999997</v>
      </c>
      <c r="BY162" s="54">
        <v>9.2667999999999999</v>
      </c>
      <c r="BZ162" s="54">
        <v>9.7805999999999997</v>
      </c>
      <c r="CA162" s="117">
        <v>9.3466000000000005</v>
      </c>
      <c r="CB162" s="107"/>
      <c r="CC162" s="122">
        <v>10.3721</v>
      </c>
      <c r="CD162" s="122">
        <v>10.441000000000001</v>
      </c>
      <c r="CE162" s="123">
        <v>10.365600000000001</v>
      </c>
      <c r="CF162" s="123">
        <v>11.4085</v>
      </c>
      <c r="CG162" s="123">
        <v>11.602</v>
      </c>
      <c r="CH162" s="123">
        <v>10.650600000000001</v>
      </c>
      <c r="CI162" s="123">
        <v>10.859299999999999</v>
      </c>
      <c r="CJ162" s="123">
        <v>9.7223000000000006</v>
      </c>
      <c r="CK162" s="108">
        <v>9.9139999999999997</v>
      </c>
      <c r="CL162" s="108">
        <v>10.767899999999999</v>
      </c>
      <c r="CM162" s="110">
        <v>10.452999999999999</v>
      </c>
      <c r="CN162" s="124">
        <v>10.3118</v>
      </c>
      <c r="CO162" s="108">
        <v>9.9332999999999991</v>
      </c>
      <c r="CP162" s="108">
        <v>10.0763</v>
      </c>
      <c r="CQ162" s="108"/>
      <c r="CR162" s="108"/>
      <c r="CS162" s="108"/>
      <c r="CT162" s="108"/>
      <c r="CU162" s="108"/>
      <c r="CV162" s="108"/>
      <c r="CW162" s="108"/>
      <c r="CX162" s="108"/>
      <c r="CY162" s="109"/>
    </row>
    <row r="163" spans="1:103" ht="15" customHeight="1"/>
  </sheetData>
  <mergeCells count="4">
    <mergeCell ref="H15:S15"/>
    <mergeCell ref="T15:AE15"/>
    <mergeCell ref="AF15:AQ15"/>
    <mergeCell ref="AR15:BC15"/>
  </mergeCells>
  <conditionalFormatting sqref="H17:BR32 BS17:CY95 BD33:BR95 H77:H87 BD96:CA97 CI96:CY97 BD98:CY162 CZ125:DA125">
    <cfRule type="containsBlanks" dxfId="14" priority="8">
      <formula>LEN(TRIM(H17))=0</formula>
    </cfRule>
  </conditionalFormatting>
  <conditionalFormatting sqref="H34:BR38 H39:R39 T39:BR39 H40:BR59 H60:S60 AF60:BR60 H61:BR74 H75:BC75 BL75:BR75 I76:BM76 I77:N79 P77:BR79 AR80:BR80 I80:S87 U81:AE91 AG81:BR91 H88:S91 H92:BR124 H125:BO125 H126:CY132 BF133:CY136 H133:BE140 BF137:BR140 H141:CY145 H146:BR146 H147:BQ147 H148:CY153 I154:CY154 H155:BR160">
    <cfRule type="containsBlanks" dxfId="13" priority="15">
      <formula>LEN(TRIM(H34))=0</formula>
    </cfRule>
  </conditionalFormatting>
  <conditionalFormatting sqref="O77:O79">
    <cfRule type="containsBlanks" dxfId="12" priority="9">
      <formula>LEN(TRIM(O77))=0</formula>
    </cfRule>
  </conditionalFormatting>
  <conditionalFormatting sqref="S39">
    <cfRule type="containsBlanks" dxfId="11" priority="5">
      <formula>LEN(TRIM(S39))=0</formula>
    </cfRule>
  </conditionalFormatting>
  <conditionalFormatting sqref="T81:T89">
    <cfRule type="containsBlanks" dxfId="10" priority="7">
      <formula>LEN(TRIM(T81))=0</formula>
    </cfRule>
  </conditionalFormatting>
  <conditionalFormatting sqref="AF81:AF91">
    <cfRule type="containsBlanks" dxfId="9" priority="6">
      <formula>LEN(TRIM(AF81))=0</formula>
    </cfRule>
  </conditionalFormatting>
  <conditionalFormatting sqref="BS32:BW32 BY32:CY32">
    <cfRule type="containsBlanks" dxfId="8" priority="10">
      <formula>LEN(TRIM(BS32))=0</formula>
    </cfRule>
  </conditionalFormatting>
  <conditionalFormatting sqref="BS114:CY118">
    <cfRule type="containsBlanks" dxfId="7" priority="12">
      <formula>LEN(TRIM(BS114))=0</formula>
    </cfRule>
  </conditionalFormatting>
  <conditionalFormatting sqref="BS123:CY123">
    <cfRule type="containsBlanks" dxfId="6" priority="14">
      <formula>LEN(TRIM(BS123))=0</formula>
    </cfRule>
  </conditionalFormatting>
  <conditionalFormatting sqref="BS138:CY138">
    <cfRule type="containsBlanks" dxfId="5" priority="13">
      <formula>LEN(TRIM(BS138))=0</formula>
    </cfRule>
  </conditionalFormatting>
  <conditionalFormatting sqref="BW71">
    <cfRule type="containsBlanks" dxfId="4" priority="3">
      <formula>LEN(TRIM(BW71))=0</formula>
    </cfRule>
  </conditionalFormatting>
  <conditionalFormatting sqref="BX28:BX87">
    <cfRule type="containsBlanks" dxfId="3" priority="4">
      <formula>LEN(TRIM(BX28))=0</formula>
    </cfRule>
  </conditionalFormatting>
  <conditionalFormatting sqref="CB96:CH97">
    <cfRule type="containsBlanks" dxfId="2" priority="1">
      <formula>LEN(TRIM(CB96))=0</formula>
    </cfRule>
  </conditionalFormatting>
  <conditionalFormatting sqref="CH125">
    <cfRule type="containsBlanks" dxfId="1" priority="2">
      <formula>LEN(TRIM(CH125))=0</formula>
    </cfRule>
  </conditionalFormatting>
  <conditionalFormatting sqref="CZ154:DW154">
    <cfRule type="containsBlanks" dxfId="0" priority="11">
      <formula>LEN(TRIM(CZ154))=0</formula>
    </cfRule>
  </conditionalFormatting>
  <pageMargins left="0.7" right="0.7" top="0.75" bottom="0.75" header="0.3" footer="0.3"/>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8ECEE-2E33-4213-965D-5BCE9926EA1E}">
  <dimension ref="B2:AG101"/>
  <sheetViews>
    <sheetView tabSelected="1" workbookViewId="0">
      <selection activeCell="T20" sqref="T20"/>
    </sheetView>
  </sheetViews>
  <sheetFormatPr defaultRowHeight="14.4"/>
  <cols>
    <col min="1" max="1" width="5.5546875" customWidth="1"/>
    <col min="2" max="2" width="29.5546875" bestFit="1" customWidth="1"/>
    <col min="3" max="3" width="16.6640625" customWidth="1"/>
    <col min="4" max="4" width="15.5546875" customWidth="1"/>
    <col min="5" max="5" width="15.88671875" customWidth="1"/>
    <col min="6" max="6" width="15.5546875" customWidth="1"/>
    <col min="7" max="7" width="15.6640625" customWidth="1"/>
    <col min="8" max="8" width="18.5546875" customWidth="1"/>
    <col min="9" max="9" width="16.109375" customWidth="1"/>
    <col min="10" max="10" width="14.88671875" customWidth="1"/>
    <col min="11" max="11" width="16.109375" customWidth="1"/>
    <col min="12" max="12" width="16.33203125" customWidth="1"/>
    <col min="13" max="13" width="15.88671875" customWidth="1"/>
    <col min="14" max="14" width="16.33203125" customWidth="1"/>
    <col min="15" max="15" width="15.88671875" customWidth="1"/>
    <col min="16" max="16" width="13.33203125" bestFit="1" customWidth="1"/>
    <col min="17" max="17" width="14.44140625" bestFit="1" customWidth="1"/>
    <col min="18" max="18" width="10.44140625" bestFit="1" customWidth="1"/>
    <col min="19" max="19" width="13.33203125" bestFit="1" customWidth="1"/>
    <col min="20" max="20" width="14.44140625" bestFit="1" customWidth="1"/>
    <col min="21" max="21" width="10.44140625" bestFit="1" customWidth="1"/>
    <col min="22" max="22" width="13.33203125" bestFit="1" customWidth="1"/>
    <col min="23" max="23" width="14.44140625" bestFit="1" customWidth="1"/>
    <col min="24" max="24" width="10.44140625" bestFit="1" customWidth="1"/>
    <col min="25" max="25" width="13.33203125" bestFit="1" customWidth="1"/>
    <col min="26" max="26" width="14.44140625" bestFit="1" customWidth="1"/>
    <col min="27" max="27" width="10.44140625" bestFit="1" customWidth="1"/>
    <col min="28" max="28" width="13.33203125" bestFit="1" customWidth="1"/>
    <col min="29" max="29" width="14.44140625" bestFit="1" customWidth="1"/>
    <col min="30" max="30" width="9.33203125" bestFit="1" customWidth="1"/>
    <col min="31" max="31" width="14.5546875" bestFit="1" customWidth="1"/>
    <col min="32" max="32" width="15.88671875" bestFit="1" customWidth="1"/>
    <col min="33" max="33" width="11" bestFit="1" customWidth="1"/>
  </cols>
  <sheetData>
    <row r="2" spans="2:33">
      <c r="B2" s="138" t="s">
        <v>439</v>
      </c>
      <c r="C2" s="138"/>
      <c r="D2" s="138"/>
      <c r="E2" s="138"/>
      <c r="F2" s="138"/>
      <c r="G2" s="138"/>
      <c r="H2" s="138"/>
      <c r="I2" s="138"/>
      <c r="J2" s="138"/>
      <c r="K2" s="138"/>
      <c r="L2" s="138"/>
      <c r="M2" s="138"/>
      <c r="N2" s="138"/>
      <c r="O2" s="138"/>
      <c r="P2" s="131"/>
      <c r="Q2" s="131"/>
      <c r="R2" s="131"/>
      <c r="S2" s="131"/>
      <c r="T2" s="131"/>
      <c r="U2" s="131"/>
      <c r="V2" s="131"/>
      <c r="W2" s="131"/>
      <c r="X2" s="131"/>
      <c r="Y2" s="131"/>
      <c r="Z2" s="131"/>
      <c r="AA2" s="131"/>
      <c r="AB2" s="131"/>
      <c r="AC2" s="131"/>
      <c r="AD2" s="131"/>
      <c r="AE2" s="131"/>
      <c r="AF2" s="131"/>
      <c r="AG2" s="131"/>
    </row>
    <row r="3" spans="2:33">
      <c r="B3" s="127" t="s">
        <v>440</v>
      </c>
      <c r="C3" s="127" t="s">
        <v>441</v>
      </c>
      <c r="D3" s="127" t="s">
        <v>442</v>
      </c>
      <c r="E3" s="127" t="s">
        <v>443</v>
      </c>
      <c r="F3" s="127" t="s">
        <v>444</v>
      </c>
      <c r="G3" s="127" t="s">
        <v>445</v>
      </c>
      <c r="H3" s="127" t="s">
        <v>446</v>
      </c>
      <c r="I3" s="127" t="s">
        <v>447</v>
      </c>
      <c r="J3" s="127" t="s">
        <v>448</v>
      </c>
      <c r="K3" s="127" t="s">
        <v>449</v>
      </c>
      <c r="L3" s="127" t="s">
        <v>450</v>
      </c>
      <c r="M3" s="127" t="s">
        <v>451</v>
      </c>
      <c r="N3" s="127" t="s">
        <v>452</v>
      </c>
      <c r="O3" s="127" t="s">
        <v>453</v>
      </c>
      <c r="P3" s="131"/>
      <c r="Q3" s="131"/>
      <c r="R3" s="142"/>
      <c r="S3" s="143"/>
      <c r="T3" s="143"/>
      <c r="U3" s="143"/>
      <c r="V3" s="143"/>
      <c r="W3" s="143"/>
      <c r="X3" s="143"/>
      <c r="Y3" s="143"/>
      <c r="Z3" s="143"/>
      <c r="AA3" s="143"/>
      <c r="AB3" s="143"/>
      <c r="AC3" s="143"/>
      <c r="AD3" s="143"/>
      <c r="AE3" s="151"/>
      <c r="AF3" s="151"/>
      <c r="AG3" s="151"/>
    </row>
    <row r="4" spans="2:33">
      <c r="B4" s="126" t="s">
        <v>454</v>
      </c>
      <c r="C4" s="139">
        <v>2507513</v>
      </c>
      <c r="D4" s="139">
        <v>2373081</v>
      </c>
      <c r="E4" s="139">
        <v>2413511</v>
      </c>
      <c r="F4" s="139">
        <v>2721300</v>
      </c>
      <c r="G4" s="139">
        <v>3405712</v>
      </c>
      <c r="H4" s="139">
        <v>3484903</v>
      </c>
      <c r="I4" s="139">
        <v>3027694</v>
      </c>
      <c r="J4" s="139">
        <v>2953173</v>
      </c>
      <c r="K4" s="139">
        <v>3102593</v>
      </c>
      <c r="L4" s="139">
        <v>2868256</v>
      </c>
      <c r="M4" s="139">
        <v>2728934</v>
      </c>
      <c r="N4" s="139">
        <v>2704915</v>
      </c>
      <c r="O4" s="140">
        <f>SUM(C4:N4)</f>
        <v>34291585</v>
      </c>
      <c r="P4" s="133"/>
      <c r="Q4" s="132"/>
      <c r="R4" s="142"/>
      <c r="S4" s="143"/>
      <c r="T4" s="143"/>
      <c r="U4" s="143"/>
      <c r="V4" s="143"/>
      <c r="W4" s="143"/>
      <c r="X4" s="143"/>
      <c r="Y4" s="143"/>
      <c r="Z4" s="143"/>
      <c r="AA4" s="143"/>
      <c r="AB4" s="143"/>
      <c r="AC4" s="143"/>
      <c r="AD4" s="143"/>
      <c r="AE4" s="133"/>
      <c r="AF4" s="132"/>
      <c r="AG4" s="132"/>
    </row>
    <row r="5" spans="2:33">
      <c r="B5" s="126" t="s">
        <v>455</v>
      </c>
      <c r="C5" s="139">
        <v>2035222</v>
      </c>
      <c r="D5" s="139">
        <v>2072947</v>
      </c>
      <c r="E5" s="139">
        <v>1892171</v>
      </c>
      <c r="F5" s="139">
        <v>1580908</v>
      </c>
      <c r="G5" s="139">
        <v>1257939</v>
      </c>
      <c r="H5" s="139">
        <v>1574425</v>
      </c>
      <c r="I5" s="139">
        <v>1558520</v>
      </c>
      <c r="J5" s="139">
        <v>1721734</v>
      </c>
      <c r="K5" s="139">
        <v>1834641</v>
      </c>
      <c r="L5" s="139">
        <v>1740482</v>
      </c>
      <c r="M5" s="139">
        <v>1726556</v>
      </c>
      <c r="N5" s="139">
        <v>1731558</v>
      </c>
      <c r="O5" s="140">
        <f t="shared" ref="O5:O7" si="0">SUM(C5:N5)</f>
        <v>20727103</v>
      </c>
      <c r="P5" s="134"/>
      <c r="Q5" s="134"/>
      <c r="R5" s="142"/>
      <c r="S5" s="143"/>
      <c r="T5" s="143"/>
      <c r="U5" s="143"/>
      <c r="V5" s="143"/>
      <c r="W5" s="143"/>
      <c r="X5" s="143"/>
      <c r="Y5" s="143"/>
      <c r="Z5" s="143"/>
      <c r="AA5" s="143"/>
      <c r="AB5" s="143"/>
      <c r="AC5" s="143"/>
      <c r="AD5" s="143"/>
      <c r="AE5" s="135"/>
      <c r="AF5" s="135"/>
      <c r="AG5" s="135"/>
    </row>
    <row r="6" spans="2:33">
      <c r="B6" s="126" t="s">
        <v>456</v>
      </c>
      <c r="C6" s="139">
        <v>2165032</v>
      </c>
      <c r="D6" s="139">
        <v>2452692</v>
      </c>
      <c r="E6" s="139">
        <v>2125171</v>
      </c>
      <c r="F6" s="139">
        <v>1460970</v>
      </c>
      <c r="G6" s="139">
        <v>1630264</v>
      </c>
      <c r="H6" s="139">
        <v>2138590</v>
      </c>
      <c r="I6" s="139">
        <v>2140620</v>
      </c>
      <c r="J6" s="139">
        <v>2316328</v>
      </c>
      <c r="K6" s="139">
        <v>2356724</v>
      </c>
      <c r="L6" s="139">
        <v>2261014</v>
      </c>
      <c r="M6" s="139">
        <v>2266608</v>
      </c>
      <c r="N6" s="139">
        <v>2252314</v>
      </c>
      <c r="O6" s="140">
        <f t="shared" si="0"/>
        <v>25566327</v>
      </c>
      <c r="P6" s="134"/>
      <c r="R6" s="142"/>
      <c r="S6" s="143"/>
      <c r="T6" s="143"/>
      <c r="U6" s="143"/>
      <c r="V6" s="143"/>
      <c r="W6" s="143"/>
      <c r="X6" s="143"/>
      <c r="Y6" s="143"/>
      <c r="Z6" s="143"/>
      <c r="AA6" s="143"/>
      <c r="AB6" s="143"/>
      <c r="AC6" s="143"/>
      <c r="AD6" s="143"/>
      <c r="AE6" s="135"/>
      <c r="AF6" s="135"/>
      <c r="AG6" s="135"/>
    </row>
    <row r="7" spans="2:33">
      <c r="B7" s="126" t="s">
        <v>457</v>
      </c>
      <c r="C7" s="139">
        <v>223778</v>
      </c>
      <c r="D7" s="139">
        <v>233617</v>
      </c>
      <c r="E7" s="139">
        <v>217995</v>
      </c>
      <c r="F7" s="139">
        <v>184353</v>
      </c>
      <c r="G7" s="139">
        <v>195625</v>
      </c>
      <c r="H7" s="139">
        <v>224122</v>
      </c>
      <c r="I7" s="139">
        <v>231153</v>
      </c>
      <c r="J7" s="139">
        <v>220588</v>
      </c>
      <c r="K7" s="139">
        <v>233927</v>
      </c>
      <c r="L7" s="139">
        <v>234799</v>
      </c>
      <c r="M7" s="139">
        <v>232406</v>
      </c>
      <c r="N7" s="139">
        <v>225406</v>
      </c>
      <c r="O7" s="140">
        <f t="shared" si="0"/>
        <v>2657769</v>
      </c>
      <c r="P7" s="134"/>
      <c r="R7" s="144"/>
      <c r="S7" s="145"/>
      <c r="T7" s="145"/>
      <c r="U7" s="145"/>
      <c r="V7" s="145"/>
      <c r="W7" s="145"/>
      <c r="X7" s="145"/>
      <c r="Y7" s="145"/>
      <c r="Z7" s="145"/>
      <c r="AA7" s="145"/>
      <c r="AB7" s="145"/>
      <c r="AC7" s="145"/>
      <c r="AD7" s="145"/>
      <c r="AE7" s="135"/>
      <c r="AF7" s="135"/>
      <c r="AG7" s="135"/>
    </row>
    <row r="8" spans="2:33">
      <c r="B8" s="127" t="s">
        <v>458</v>
      </c>
      <c r="C8" s="128">
        <f>SUM(C4:C7)</f>
        <v>6931545</v>
      </c>
      <c r="D8" s="128">
        <f t="shared" ref="D8" si="1">SUM(D4:D7)</f>
        <v>7132337</v>
      </c>
      <c r="E8" s="128">
        <f t="shared" ref="E8" si="2">SUM(E4:E7)</f>
        <v>6648848</v>
      </c>
      <c r="F8" s="128">
        <f t="shared" ref="F8" si="3">SUM(F4:F7)</f>
        <v>5947531</v>
      </c>
      <c r="G8" s="128">
        <f t="shared" ref="G8" si="4">SUM(G4:G7)</f>
        <v>6489540</v>
      </c>
      <c r="H8" s="128">
        <f t="shared" ref="H8" si="5">SUM(H4:H7)</f>
        <v>7422040</v>
      </c>
      <c r="I8" s="128">
        <f t="shared" ref="I8" si="6">SUM(I4:I7)</f>
        <v>6957987</v>
      </c>
      <c r="J8" s="128">
        <f t="shared" ref="J8" si="7">SUM(J4:J7)</f>
        <v>7211823</v>
      </c>
      <c r="K8" s="128">
        <f t="shared" ref="K8" si="8">SUM(K4:K7)</f>
        <v>7527885</v>
      </c>
      <c r="L8" s="128">
        <f t="shared" ref="L8" si="9">SUM(L4:L7)</f>
        <v>7104551</v>
      </c>
      <c r="M8" s="128">
        <f t="shared" ref="M8" si="10">SUM(M4:M7)</f>
        <v>6954504</v>
      </c>
      <c r="N8" s="128">
        <f t="shared" ref="N8" si="11">SUM(N4:N7)</f>
        <v>6914193</v>
      </c>
      <c r="O8" s="128">
        <f t="shared" ref="O8" si="12">SUM(O4:O7)</f>
        <v>83242784</v>
      </c>
      <c r="P8" s="134"/>
      <c r="R8" s="146"/>
      <c r="S8" s="147"/>
      <c r="T8" s="147"/>
      <c r="U8" s="147"/>
      <c r="V8" s="147"/>
      <c r="W8" s="147"/>
      <c r="X8" s="147"/>
      <c r="Y8" s="147"/>
      <c r="Z8" s="147"/>
      <c r="AA8" s="147"/>
      <c r="AB8" s="147"/>
      <c r="AC8" s="147"/>
      <c r="AD8" s="147"/>
      <c r="AE8" s="135"/>
      <c r="AF8" s="135"/>
      <c r="AG8" s="136"/>
    </row>
    <row r="9" spans="2:33" ht="15" customHeight="1">
      <c r="P9" s="131"/>
      <c r="R9" s="146"/>
      <c r="S9" s="147"/>
      <c r="T9" s="147"/>
      <c r="U9" s="147"/>
      <c r="V9" s="147"/>
      <c r="W9" s="147"/>
      <c r="X9" s="147"/>
      <c r="Y9" s="147"/>
      <c r="Z9" s="147"/>
      <c r="AA9" s="147"/>
      <c r="AB9" s="147"/>
      <c r="AC9" s="147"/>
      <c r="AD9" s="147"/>
      <c r="AE9" s="131"/>
      <c r="AF9" s="131"/>
      <c r="AG9" s="137"/>
    </row>
    <row r="10" spans="2:33">
      <c r="B10" s="138" t="s">
        <v>459</v>
      </c>
      <c r="C10" s="138"/>
      <c r="D10" s="138"/>
      <c r="E10" s="138"/>
      <c r="F10" s="138"/>
      <c r="G10" s="138"/>
      <c r="H10" s="138"/>
      <c r="I10" s="138"/>
      <c r="J10" s="138"/>
      <c r="K10" s="138"/>
      <c r="L10" s="138"/>
      <c r="M10" s="138"/>
      <c r="N10" s="138"/>
      <c r="O10" s="138"/>
      <c r="R10" s="148"/>
      <c r="S10" s="149"/>
      <c r="T10" s="149"/>
      <c r="U10" s="149"/>
      <c r="V10" s="149"/>
      <c r="W10" s="149"/>
      <c r="X10" s="149"/>
      <c r="Y10" s="149"/>
      <c r="Z10" s="149"/>
      <c r="AA10" s="149"/>
      <c r="AB10" s="149"/>
      <c r="AC10" s="149"/>
      <c r="AD10" s="149"/>
    </row>
    <row r="11" spans="2:33">
      <c r="B11" s="127" t="s">
        <v>440</v>
      </c>
      <c r="C11" s="127" t="s">
        <v>441</v>
      </c>
      <c r="D11" s="127" t="s">
        <v>442</v>
      </c>
      <c r="E11" s="127" t="s">
        <v>443</v>
      </c>
      <c r="F11" s="127" t="s">
        <v>444</v>
      </c>
      <c r="G11" s="127" t="s">
        <v>445</v>
      </c>
      <c r="H11" s="127" t="s">
        <v>446</v>
      </c>
      <c r="I11" s="127" t="s">
        <v>447</v>
      </c>
      <c r="J11" s="127" t="s">
        <v>448</v>
      </c>
      <c r="K11" s="127" t="s">
        <v>449</v>
      </c>
      <c r="L11" s="127" t="s">
        <v>450</v>
      </c>
      <c r="M11" s="127" t="s">
        <v>451</v>
      </c>
      <c r="N11" s="127" t="s">
        <v>452</v>
      </c>
      <c r="O11" s="127" t="s">
        <v>460</v>
      </c>
      <c r="Q11" s="129"/>
      <c r="R11" s="130"/>
      <c r="S11" s="130"/>
      <c r="T11" s="130"/>
      <c r="U11" s="130"/>
      <c r="V11" s="130"/>
      <c r="W11" s="130"/>
      <c r="X11" s="130"/>
      <c r="Y11" s="130"/>
      <c r="Z11" s="130"/>
      <c r="AA11" s="130"/>
      <c r="AB11" s="130"/>
      <c r="AC11" s="130"/>
    </row>
    <row r="12" spans="2:33">
      <c r="B12" s="126" t="s">
        <v>454</v>
      </c>
      <c r="C12" s="139">
        <v>0</v>
      </c>
      <c r="D12" s="139">
        <v>0</v>
      </c>
      <c r="E12" s="139">
        <v>0</v>
      </c>
      <c r="F12" s="139">
        <v>0</v>
      </c>
      <c r="G12" s="139">
        <v>0</v>
      </c>
      <c r="H12" s="139">
        <v>0</v>
      </c>
      <c r="I12" s="139">
        <v>0</v>
      </c>
      <c r="J12" s="139">
        <v>0</v>
      </c>
      <c r="K12" s="139">
        <v>0</v>
      </c>
      <c r="L12" s="139">
        <v>0</v>
      </c>
      <c r="M12" s="139">
        <v>0</v>
      </c>
      <c r="N12" s="139">
        <v>0</v>
      </c>
      <c r="O12" s="140">
        <f>AVERAGE(C12:N12)</f>
        <v>0</v>
      </c>
      <c r="Q12" s="129"/>
      <c r="R12" s="130"/>
      <c r="S12" s="130"/>
      <c r="T12" s="130"/>
      <c r="U12" s="130"/>
      <c r="V12" s="130"/>
      <c r="W12" s="130"/>
      <c r="X12" s="130"/>
      <c r="Y12" s="130"/>
      <c r="Z12" s="130"/>
      <c r="AA12" s="130"/>
      <c r="AB12" s="130"/>
      <c r="AC12" s="130"/>
    </row>
    <row r="13" spans="2:33">
      <c r="B13" s="126" t="s">
        <v>455</v>
      </c>
      <c r="C13" s="139">
        <v>0</v>
      </c>
      <c r="D13" s="139">
        <v>0</v>
      </c>
      <c r="E13" s="139">
        <v>0</v>
      </c>
      <c r="F13" s="139">
        <v>0</v>
      </c>
      <c r="G13" s="139">
        <v>0</v>
      </c>
      <c r="H13" s="139">
        <v>0</v>
      </c>
      <c r="I13" s="139">
        <v>0</v>
      </c>
      <c r="J13" s="139">
        <v>0</v>
      </c>
      <c r="K13" s="139">
        <v>0</v>
      </c>
      <c r="L13" s="139">
        <v>0</v>
      </c>
      <c r="M13" s="139">
        <v>0</v>
      </c>
      <c r="N13" s="139">
        <v>0</v>
      </c>
      <c r="O13" s="140">
        <f>AVERAGE(C13:N13)</f>
        <v>0</v>
      </c>
      <c r="Q13" s="129"/>
      <c r="R13" s="130"/>
      <c r="S13" s="130"/>
      <c r="T13" s="130"/>
      <c r="U13" s="130"/>
      <c r="V13" s="130"/>
      <c r="W13" s="130"/>
      <c r="X13" s="130"/>
      <c r="Y13" s="130"/>
      <c r="Z13" s="130"/>
      <c r="AA13" s="130"/>
      <c r="AB13" s="130"/>
      <c r="AC13" s="130"/>
    </row>
    <row r="14" spans="2:33">
      <c r="B14" s="126" t="s">
        <v>456</v>
      </c>
      <c r="C14" s="139">
        <v>0</v>
      </c>
      <c r="D14" s="139">
        <v>0</v>
      </c>
      <c r="E14" s="139">
        <v>0</v>
      </c>
      <c r="F14" s="139">
        <v>0</v>
      </c>
      <c r="G14" s="139">
        <v>0</v>
      </c>
      <c r="H14" s="139">
        <v>0</v>
      </c>
      <c r="I14" s="139">
        <v>0</v>
      </c>
      <c r="J14" s="139">
        <v>0</v>
      </c>
      <c r="K14" s="139">
        <v>0</v>
      </c>
      <c r="L14" s="139">
        <v>0</v>
      </c>
      <c r="M14" s="139">
        <v>0</v>
      </c>
      <c r="N14" s="139">
        <v>0</v>
      </c>
      <c r="O14" s="140">
        <f>AVERAGE(C14:N14)</f>
        <v>0</v>
      </c>
      <c r="Q14" s="129"/>
      <c r="R14" s="130"/>
      <c r="S14" s="130"/>
      <c r="T14" s="130"/>
      <c r="U14" s="130"/>
      <c r="V14" s="130"/>
      <c r="W14" s="130"/>
      <c r="X14" s="130"/>
      <c r="Y14" s="130"/>
      <c r="Z14" s="130"/>
      <c r="AA14" s="130"/>
      <c r="AB14" s="130"/>
      <c r="AC14" s="130"/>
    </row>
    <row r="15" spans="2:33">
      <c r="B15" s="126" t="s">
        <v>457</v>
      </c>
      <c r="C15" s="139">
        <v>0</v>
      </c>
      <c r="D15" s="139">
        <v>0</v>
      </c>
      <c r="E15" s="139">
        <v>0</v>
      </c>
      <c r="F15" s="139">
        <v>0</v>
      </c>
      <c r="G15" s="139">
        <v>0</v>
      </c>
      <c r="H15" s="139">
        <v>0</v>
      </c>
      <c r="I15" s="139">
        <v>0</v>
      </c>
      <c r="J15" s="139">
        <v>0</v>
      </c>
      <c r="K15" s="139">
        <v>0</v>
      </c>
      <c r="L15" s="139">
        <v>0</v>
      </c>
      <c r="M15" s="139">
        <v>0</v>
      </c>
      <c r="N15" s="139">
        <v>0</v>
      </c>
      <c r="O15" s="140">
        <f>AVERAGE(C15:N15)</f>
        <v>0</v>
      </c>
    </row>
    <row r="16" spans="2:33">
      <c r="B16" s="127" t="s">
        <v>458</v>
      </c>
      <c r="C16" s="141">
        <f>SUM(C12:C15)</f>
        <v>0</v>
      </c>
      <c r="D16" s="141">
        <f t="shared" ref="D16" si="13">SUM(D12:D15)</f>
        <v>0</v>
      </c>
      <c r="E16" s="141">
        <f t="shared" ref="E16" si="14">SUM(E12:E15)</f>
        <v>0</v>
      </c>
      <c r="F16" s="141">
        <f t="shared" ref="F16" si="15">SUM(F12:F15)</f>
        <v>0</v>
      </c>
      <c r="G16" s="141">
        <f t="shared" ref="G16" si="16">SUM(G12:G15)</f>
        <v>0</v>
      </c>
      <c r="H16" s="141">
        <f t="shared" ref="H16" si="17">SUM(H12:H15)</f>
        <v>0</v>
      </c>
      <c r="I16" s="141">
        <f t="shared" ref="I16" si="18">SUM(I12:I15)</f>
        <v>0</v>
      </c>
      <c r="J16" s="141">
        <f t="shared" ref="J16" si="19">SUM(J12:J15)</f>
        <v>0</v>
      </c>
      <c r="K16" s="141">
        <f t="shared" ref="K16" si="20">SUM(K12:K15)</f>
        <v>0</v>
      </c>
      <c r="L16" s="141">
        <f t="shared" ref="L16" si="21">SUM(L12:L15)</f>
        <v>0</v>
      </c>
      <c r="M16" s="141">
        <f t="shared" ref="M16" si="22">SUM(M12:M15)</f>
        <v>0</v>
      </c>
      <c r="N16" s="141">
        <f>SUM(N12:N15)</f>
        <v>0</v>
      </c>
      <c r="O16" s="141">
        <f>SUM(O12:O15)</f>
        <v>0</v>
      </c>
    </row>
    <row r="19" spans="2:30">
      <c r="B19" s="138" t="s">
        <v>461</v>
      </c>
      <c r="C19" s="138"/>
      <c r="D19" s="138"/>
      <c r="E19" s="138"/>
      <c r="F19" s="138"/>
      <c r="G19" s="138"/>
      <c r="H19" s="138"/>
      <c r="I19" s="138"/>
      <c r="J19" s="138"/>
      <c r="K19" s="138"/>
      <c r="L19" s="138"/>
      <c r="M19" s="138"/>
      <c r="N19" s="138"/>
      <c r="O19" s="138"/>
    </row>
    <row r="20" spans="2:30">
      <c r="B20" s="127" t="s">
        <v>440</v>
      </c>
      <c r="C20" s="127" t="s">
        <v>441</v>
      </c>
      <c r="D20" s="127" t="s">
        <v>442</v>
      </c>
      <c r="E20" s="127" t="s">
        <v>443</v>
      </c>
      <c r="F20" s="127" t="s">
        <v>444</v>
      </c>
      <c r="G20" s="127" t="s">
        <v>445</v>
      </c>
      <c r="H20" s="127" t="s">
        <v>446</v>
      </c>
      <c r="I20" s="127" t="s">
        <v>447</v>
      </c>
      <c r="J20" s="127" t="s">
        <v>448</v>
      </c>
      <c r="K20" s="127" t="s">
        <v>449</v>
      </c>
      <c r="L20" s="127" t="s">
        <v>450</v>
      </c>
      <c r="M20" s="127" t="s">
        <v>451</v>
      </c>
      <c r="N20" s="127" t="s">
        <v>452</v>
      </c>
      <c r="O20" s="127" t="s">
        <v>453</v>
      </c>
    </row>
    <row r="21" spans="2:30">
      <c r="B21" s="126" t="s">
        <v>454</v>
      </c>
      <c r="C21" s="139">
        <v>2587535</v>
      </c>
      <c r="D21" s="139">
        <v>2503836</v>
      </c>
      <c r="E21" s="139">
        <v>2557347</v>
      </c>
      <c r="F21" s="139">
        <v>3084298</v>
      </c>
      <c r="G21" s="139">
        <v>3218045</v>
      </c>
      <c r="H21" s="139">
        <v>3337689</v>
      </c>
      <c r="I21" s="139">
        <v>3035894</v>
      </c>
      <c r="J21" s="139">
        <v>3048889</v>
      </c>
      <c r="K21" s="139">
        <v>2994424</v>
      </c>
      <c r="L21" s="139">
        <v>2938296</v>
      </c>
      <c r="M21" s="139">
        <v>3006242</v>
      </c>
      <c r="N21" s="139">
        <v>2668169</v>
      </c>
      <c r="O21" s="140">
        <f>SUM(C21:N21)</f>
        <v>34980664</v>
      </c>
      <c r="Q21" s="142"/>
      <c r="R21" s="143"/>
      <c r="S21" s="143"/>
      <c r="T21" s="143"/>
      <c r="U21" s="143"/>
      <c r="V21" s="143"/>
      <c r="W21" s="143"/>
      <c r="X21" s="143"/>
      <c r="Y21" s="143"/>
      <c r="Z21" s="143"/>
      <c r="AA21" s="143"/>
      <c r="AB21" s="143"/>
      <c r="AC21" s="143"/>
      <c r="AD21" s="150"/>
    </row>
    <row r="22" spans="2:30">
      <c r="B22" s="126" t="s">
        <v>455</v>
      </c>
      <c r="C22" s="139">
        <v>1625045</v>
      </c>
      <c r="D22" s="139">
        <v>1664524</v>
      </c>
      <c r="E22" s="139">
        <v>1630769</v>
      </c>
      <c r="F22" s="139">
        <v>1675335</v>
      </c>
      <c r="G22" s="139">
        <v>1788257</v>
      </c>
      <c r="H22" s="139">
        <v>1935940</v>
      </c>
      <c r="I22" s="139">
        <v>1825761</v>
      </c>
      <c r="J22" s="139">
        <v>1781077</v>
      </c>
      <c r="K22" s="139">
        <v>1744802</v>
      </c>
      <c r="L22" s="139">
        <v>1773021</v>
      </c>
      <c r="M22" s="139">
        <v>1890630</v>
      </c>
      <c r="N22" s="139">
        <v>1783622</v>
      </c>
      <c r="O22" s="140">
        <f t="shared" ref="O22:O24" si="23">SUM(C22:N22)</f>
        <v>21118783</v>
      </c>
      <c r="Q22" s="142"/>
      <c r="R22" s="143"/>
      <c r="S22" s="143"/>
      <c r="T22" s="143"/>
      <c r="U22" s="143"/>
      <c r="V22" s="143"/>
      <c r="W22" s="143"/>
      <c r="X22" s="143"/>
      <c r="Y22" s="143"/>
      <c r="Z22" s="143"/>
      <c r="AA22" s="143"/>
      <c r="AB22" s="143"/>
      <c r="AC22" s="143"/>
      <c r="AD22" s="150"/>
    </row>
    <row r="23" spans="2:30">
      <c r="B23" s="126" t="s">
        <v>456</v>
      </c>
      <c r="C23" s="139">
        <v>2061672</v>
      </c>
      <c r="D23" s="139">
        <v>2290963</v>
      </c>
      <c r="E23" s="139">
        <v>2162111</v>
      </c>
      <c r="F23" s="139">
        <v>2273095</v>
      </c>
      <c r="G23" s="139">
        <v>2353988</v>
      </c>
      <c r="H23" s="139">
        <v>2461335</v>
      </c>
      <c r="I23" s="139">
        <v>2307487</v>
      </c>
      <c r="J23" s="139">
        <v>2381866</v>
      </c>
      <c r="K23" s="139">
        <v>2365137</v>
      </c>
      <c r="L23" s="139">
        <v>2330664</v>
      </c>
      <c r="M23" s="139">
        <v>2467887</v>
      </c>
      <c r="N23" s="139">
        <v>2167077</v>
      </c>
      <c r="O23" s="140">
        <f t="shared" si="23"/>
        <v>27623282</v>
      </c>
      <c r="Q23" s="142"/>
      <c r="R23" s="143"/>
      <c r="S23" s="143"/>
      <c r="T23" s="143"/>
      <c r="U23" s="143"/>
      <c r="V23" s="143"/>
      <c r="W23" s="143"/>
      <c r="X23" s="143"/>
      <c r="Y23" s="143"/>
      <c r="Z23" s="143"/>
      <c r="AA23" s="143"/>
      <c r="AB23" s="143"/>
      <c r="AC23" s="143"/>
      <c r="AD23" s="150"/>
    </row>
    <row r="24" spans="2:30">
      <c r="B24" s="126" t="s">
        <v>457</v>
      </c>
      <c r="C24" s="139">
        <v>372634</v>
      </c>
      <c r="D24" s="139">
        <v>323168</v>
      </c>
      <c r="E24" s="139">
        <v>303111</v>
      </c>
      <c r="F24" s="139">
        <v>440264</v>
      </c>
      <c r="G24" s="139">
        <v>412118</v>
      </c>
      <c r="H24" s="139">
        <v>491261</v>
      </c>
      <c r="I24" s="139">
        <v>428510</v>
      </c>
      <c r="J24" s="139">
        <v>475968</v>
      </c>
      <c r="K24" s="139">
        <v>416884</v>
      </c>
      <c r="L24" s="139">
        <v>464253</v>
      </c>
      <c r="M24" s="139">
        <v>425421</v>
      </c>
      <c r="N24" s="139">
        <v>348923</v>
      </c>
      <c r="O24" s="140">
        <f t="shared" si="23"/>
        <v>4902515</v>
      </c>
      <c r="Q24" s="142"/>
      <c r="R24" s="143"/>
      <c r="S24" s="143"/>
      <c r="T24" s="143"/>
      <c r="U24" s="143"/>
      <c r="V24" s="143"/>
      <c r="W24" s="143"/>
      <c r="X24" s="143"/>
      <c r="Y24" s="143"/>
      <c r="Z24" s="143"/>
      <c r="AA24" s="143"/>
      <c r="AB24" s="143"/>
      <c r="AC24" s="143"/>
      <c r="AD24" s="150"/>
    </row>
    <row r="25" spans="2:30">
      <c r="B25" s="127" t="s">
        <v>458</v>
      </c>
      <c r="C25" s="128">
        <f>SUM(C21:C24)</f>
        <v>6646886</v>
      </c>
      <c r="D25" s="128">
        <f t="shared" ref="D25" si="24">SUM(D21:D24)</f>
        <v>6782491</v>
      </c>
      <c r="E25" s="128">
        <f t="shared" ref="E25" si="25">SUM(E21:E24)</f>
        <v>6653338</v>
      </c>
      <c r="F25" s="128">
        <f t="shared" ref="F25" si="26">SUM(F21:F24)</f>
        <v>7472992</v>
      </c>
      <c r="G25" s="128">
        <f t="shared" ref="G25" si="27">SUM(G21:G24)</f>
        <v>7772408</v>
      </c>
      <c r="H25" s="128">
        <f t="shared" ref="H25" si="28">SUM(H21:H24)</f>
        <v>8226225</v>
      </c>
      <c r="I25" s="128">
        <f t="shared" ref="I25" si="29">SUM(I21:I24)</f>
        <v>7597652</v>
      </c>
      <c r="J25" s="128">
        <f t="shared" ref="J25" si="30">SUM(J21:J24)</f>
        <v>7687800</v>
      </c>
      <c r="K25" s="128">
        <f t="shared" ref="K25" si="31">SUM(K21:K24)</f>
        <v>7521247</v>
      </c>
      <c r="L25" s="128">
        <f t="shared" ref="L25" si="32">SUM(L21:L24)</f>
        <v>7506234</v>
      </c>
      <c r="M25" s="128">
        <f t="shared" ref="M25" si="33">SUM(M21:M24)</f>
        <v>7790180</v>
      </c>
      <c r="N25" s="128">
        <f t="shared" ref="N25" si="34">SUM(N21:N24)</f>
        <v>6967791</v>
      </c>
      <c r="O25" s="128">
        <f t="shared" ref="O25" si="35">SUM(O21:O24)</f>
        <v>88625244</v>
      </c>
      <c r="Q25" s="144"/>
      <c r="R25" s="145"/>
      <c r="S25" s="145"/>
      <c r="T25" s="145"/>
      <c r="U25" s="145"/>
      <c r="V25" s="145"/>
      <c r="W25" s="145"/>
      <c r="X25" s="145"/>
      <c r="Y25" s="145"/>
      <c r="Z25" s="145"/>
      <c r="AA25" s="145"/>
      <c r="AB25" s="145"/>
      <c r="AC25" s="145"/>
      <c r="AD25" s="145"/>
    </row>
    <row r="26" spans="2:30" ht="15" customHeight="1">
      <c r="Q26" s="146"/>
      <c r="R26" s="147"/>
      <c r="S26" s="147"/>
      <c r="T26" s="147"/>
      <c r="U26" s="147"/>
      <c r="V26" s="147"/>
      <c r="W26" s="147"/>
      <c r="X26" s="147"/>
      <c r="Y26" s="147"/>
      <c r="Z26" s="147"/>
      <c r="AA26" s="147"/>
      <c r="AB26" s="147"/>
      <c r="AC26" s="147"/>
      <c r="AD26" s="145"/>
    </row>
    <row r="27" spans="2:30">
      <c r="B27" s="138" t="s">
        <v>462</v>
      </c>
      <c r="C27" s="138"/>
      <c r="D27" s="138"/>
      <c r="E27" s="138"/>
      <c r="F27" s="138"/>
      <c r="G27" s="138"/>
      <c r="H27" s="138"/>
      <c r="I27" s="138"/>
      <c r="J27" s="138"/>
      <c r="K27" s="138"/>
      <c r="L27" s="138"/>
      <c r="M27" s="138"/>
      <c r="N27" s="138"/>
      <c r="O27" s="138"/>
      <c r="Q27" s="146"/>
      <c r="R27" s="147"/>
      <c r="S27" s="147"/>
      <c r="T27" s="147"/>
      <c r="U27" s="147"/>
      <c r="V27" s="147"/>
      <c r="W27" s="147"/>
      <c r="X27" s="147"/>
      <c r="Y27" s="147"/>
      <c r="Z27" s="147"/>
      <c r="AA27" s="147"/>
      <c r="AB27" s="147"/>
      <c r="AC27" s="147"/>
      <c r="AD27" s="145"/>
    </row>
    <row r="28" spans="2:30">
      <c r="B28" s="127" t="s">
        <v>440</v>
      </c>
      <c r="C28" s="127" t="s">
        <v>441</v>
      </c>
      <c r="D28" s="127" t="s">
        <v>442</v>
      </c>
      <c r="E28" s="127" t="s">
        <v>443</v>
      </c>
      <c r="F28" s="127" t="s">
        <v>444</v>
      </c>
      <c r="G28" s="127" t="s">
        <v>445</v>
      </c>
      <c r="H28" s="127" t="s">
        <v>446</v>
      </c>
      <c r="I28" s="127" t="s">
        <v>447</v>
      </c>
      <c r="J28" s="127" t="s">
        <v>448</v>
      </c>
      <c r="K28" s="127" t="s">
        <v>449</v>
      </c>
      <c r="L28" s="127" t="s">
        <v>450</v>
      </c>
      <c r="M28" s="127" t="s">
        <v>451</v>
      </c>
      <c r="N28" s="127" t="s">
        <v>452</v>
      </c>
      <c r="O28" s="127" t="s">
        <v>460</v>
      </c>
      <c r="Q28" s="146"/>
      <c r="R28" s="147"/>
      <c r="S28" s="147"/>
      <c r="T28" s="147"/>
      <c r="U28" s="147"/>
      <c r="V28" s="147"/>
      <c r="W28" s="147"/>
      <c r="X28" s="147"/>
      <c r="Y28" s="147"/>
      <c r="Z28" s="147"/>
      <c r="AA28" s="147"/>
      <c r="AB28" s="147"/>
      <c r="AC28" s="147"/>
      <c r="AD28" s="145"/>
    </row>
    <row r="29" spans="2:30">
      <c r="B29" s="126" t="s">
        <v>454</v>
      </c>
      <c r="C29" s="139">
        <v>0</v>
      </c>
      <c r="D29" s="139">
        <v>0</v>
      </c>
      <c r="E29" s="139">
        <v>0</v>
      </c>
      <c r="F29" s="139">
        <v>0</v>
      </c>
      <c r="G29" s="139">
        <v>0</v>
      </c>
      <c r="H29" s="139">
        <v>0</v>
      </c>
      <c r="I29" s="139">
        <v>0</v>
      </c>
      <c r="J29" s="139">
        <v>0</v>
      </c>
      <c r="K29" s="139">
        <v>0</v>
      </c>
      <c r="L29" s="139">
        <v>0</v>
      </c>
      <c r="M29" s="139">
        <v>0</v>
      </c>
      <c r="N29" s="139">
        <v>0</v>
      </c>
      <c r="O29" s="140">
        <f>AVERAGE(C29:N29)</f>
        <v>0</v>
      </c>
      <c r="R29" s="125"/>
      <c r="S29" s="125"/>
      <c r="T29" s="125"/>
      <c r="U29" s="125"/>
      <c r="V29" s="125"/>
      <c r="W29" s="125"/>
      <c r="X29" s="125"/>
      <c r="Y29" s="125"/>
      <c r="Z29" s="125"/>
      <c r="AA29" s="125"/>
      <c r="AB29" s="125"/>
      <c r="AC29" s="125"/>
    </row>
    <row r="30" spans="2:30">
      <c r="B30" s="126" t="s">
        <v>455</v>
      </c>
      <c r="C30" s="139">
        <v>0</v>
      </c>
      <c r="D30" s="139">
        <v>0</v>
      </c>
      <c r="E30" s="139">
        <v>0</v>
      </c>
      <c r="F30" s="139">
        <v>0</v>
      </c>
      <c r="G30" s="139">
        <v>0</v>
      </c>
      <c r="H30" s="139">
        <v>0</v>
      </c>
      <c r="I30" s="139">
        <v>0</v>
      </c>
      <c r="J30" s="139">
        <v>0</v>
      </c>
      <c r="K30" s="139">
        <v>0</v>
      </c>
      <c r="L30" s="139">
        <v>0</v>
      </c>
      <c r="M30" s="139">
        <v>0</v>
      </c>
      <c r="N30" s="139">
        <v>0</v>
      </c>
      <c r="O30" s="140">
        <f>AVERAGE(C30:N30)</f>
        <v>0</v>
      </c>
      <c r="R30" s="125"/>
      <c r="S30" s="125"/>
      <c r="T30" s="125"/>
      <c r="U30" s="125"/>
      <c r="V30" s="125"/>
      <c r="W30" s="125"/>
      <c r="X30" s="125"/>
      <c r="Y30" s="125"/>
      <c r="Z30" s="125"/>
      <c r="AA30" s="125"/>
      <c r="AB30" s="125"/>
      <c r="AC30" s="125"/>
    </row>
    <row r="31" spans="2:30">
      <c r="B31" s="126" t="s">
        <v>456</v>
      </c>
      <c r="C31" s="139">
        <v>0</v>
      </c>
      <c r="D31" s="139">
        <v>0</v>
      </c>
      <c r="E31" s="139">
        <v>0</v>
      </c>
      <c r="F31" s="139">
        <v>0</v>
      </c>
      <c r="G31" s="139">
        <v>0</v>
      </c>
      <c r="H31" s="139">
        <v>0</v>
      </c>
      <c r="I31" s="139">
        <v>0</v>
      </c>
      <c r="J31" s="139">
        <v>0</v>
      </c>
      <c r="K31" s="139">
        <v>0</v>
      </c>
      <c r="L31" s="139">
        <v>0</v>
      </c>
      <c r="M31" s="139">
        <v>0</v>
      </c>
      <c r="N31" s="139">
        <v>0</v>
      </c>
      <c r="O31" s="140">
        <f>AVERAGE(C31:N31)</f>
        <v>0</v>
      </c>
      <c r="R31" s="125"/>
      <c r="S31" s="125"/>
      <c r="T31" s="125"/>
      <c r="U31" s="125"/>
      <c r="V31" s="125"/>
      <c r="W31" s="125"/>
      <c r="X31" s="125"/>
      <c r="Y31" s="125"/>
      <c r="Z31" s="125"/>
      <c r="AA31" s="125"/>
      <c r="AB31" s="125"/>
      <c r="AC31" s="125"/>
    </row>
    <row r="32" spans="2:30">
      <c r="B32" s="126" t="s">
        <v>457</v>
      </c>
      <c r="C32" s="139">
        <v>0</v>
      </c>
      <c r="D32" s="139">
        <v>0</v>
      </c>
      <c r="E32" s="139">
        <v>0</v>
      </c>
      <c r="F32" s="139">
        <v>0</v>
      </c>
      <c r="G32" s="139">
        <v>0</v>
      </c>
      <c r="H32" s="139">
        <v>0</v>
      </c>
      <c r="I32" s="139">
        <v>0</v>
      </c>
      <c r="J32" s="139">
        <v>0</v>
      </c>
      <c r="K32" s="139">
        <v>0</v>
      </c>
      <c r="L32" s="139">
        <v>0</v>
      </c>
      <c r="M32" s="139">
        <v>0</v>
      </c>
      <c r="N32" s="139">
        <v>0</v>
      </c>
      <c r="O32" s="140">
        <f>AVERAGE(C32:N32)</f>
        <v>0</v>
      </c>
      <c r="R32" s="125"/>
      <c r="S32" s="125"/>
      <c r="T32" s="125"/>
      <c r="U32" s="125"/>
      <c r="V32" s="125"/>
      <c r="W32" s="125"/>
      <c r="X32" s="125"/>
      <c r="Y32" s="125"/>
      <c r="Z32" s="125"/>
      <c r="AA32" s="125"/>
      <c r="AB32" s="125"/>
      <c r="AC32" s="125"/>
    </row>
    <row r="33" spans="2:15">
      <c r="B33" s="127" t="s">
        <v>458</v>
      </c>
      <c r="C33" s="141">
        <f>SUM(C29:C32)</f>
        <v>0</v>
      </c>
      <c r="D33" s="141">
        <f t="shared" ref="D33" si="36">SUM(D29:D32)</f>
        <v>0</v>
      </c>
      <c r="E33" s="141">
        <f t="shared" ref="E33" si="37">SUM(E29:E32)</f>
        <v>0</v>
      </c>
      <c r="F33" s="141">
        <f t="shared" ref="F33" si="38">SUM(F29:F32)</f>
        <v>0</v>
      </c>
      <c r="G33" s="141">
        <f t="shared" ref="G33" si="39">SUM(G29:G32)</f>
        <v>0</v>
      </c>
      <c r="H33" s="141">
        <f t="shared" ref="H33" si="40">SUM(H29:H32)</f>
        <v>0</v>
      </c>
      <c r="I33" s="141">
        <f t="shared" ref="I33" si="41">SUM(I29:I32)</f>
        <v>0</v>
      </c>
      <c r="J33" s="141">
        <f t="shared" ref="J33" si="42">SUM(J29:J32)</f>
        <v>0</v>
      </c>
      <c r="K33" s="141">
        <f t="shared" ref="K33" si="43">SUM(K29:K32)</f>
        <v>0</v>
      </c>
      <c r="L33" s="141">
        <f t="shared" ref="L33" si="44">SUM(L29:L32)</f>
        <v>0</v>
      </c>
      <c r="M33" s="141">
        <f t="shared" ref="M33" si="45">SUM(M29:M32)</f>
        <v>0</v>
      </c>
      <c r="N33" s="141">
        <f>SUM(N29:N32)</f>
        <v>0</v>
      </c>
      <c r="O33" s="141">
        <f>SUM(O29:O32)</f>
        <v>0</v>
      </c>
    </row>
    <row r="36" spans="2:15">
      <c r="B36" s="138" t="s">
        <v>463</v>
      </c>
      <c r="C36" s="138"/>
      <c r="D36" s="138"/>
      <c r="E36" s="138"/>
      <c r="F36" s="138"/>
      <c r="G36" s="138"/>
      <c r="H36" s="138"/>
      <c r="I36" s="138"/>
      <c r="J36" s="138"/>
      <c r="K36" s="138"/>
      <c r="L36" s="138"/>
      <c r="M36" s="138"/>
      <c r="N36" s="138"/>
      <c r="O36" s="138"/>
    </row>
    <row r="37" spans="2:15">
      <c r="B37" s="127" t="s">
        <v>440</v>
      </c>
      <c r="C37" s="127" t="s">
        <v>441</v>
      </c>
      <c r="D37" s="127" t="s">
        <v>442</v>
      </c>
      <c r="E37" s="127" t="s">
        <v>443</v>
      </c>
      <c r="F37" s="127" t="s">
        <v>444</v>
      </c>
      <c r="G37" s="127" t="s">
        <v>445</v>
      </c>
      <c r="H37" s="127" t="s">
        <v>446</v>
      </c>
      <c r="I37" s="127" t="s">
        <v>447</v>
      </c>
      <c r="J37" s="127" t="s">
        <v>448</v>
      </c>
      <c r="K37" s="127" t="s">
        <v>449</v>
      </c>
      <c r="L37" s="127" t="s">
        <v>450</v>
      </c>
      <c r="M37" s="127" t="s">
        <v>451</v>
      </c>
      <c r="N37" s="127" t="s">
        <v>452</v>
      </c>
      <c r="O37" s="127" t="s">
        <v>453</v>
      </c>
    </row>
    <row r="38" spans="2:15">
      <c r="B38" s="126" t="s">
        <v>454</v>
      </c>
      <c r="C38" s="139">
        <v>2513814</v>
      </c>
      <c r="D38" s="139">
        <v>2648988</v>
      </c>
      <c r="E38" s="139">
        <v>2718716</v>
      </c>
      <c r="F38" s="139">
        <v>3109256</v>
      </c>
      <c r="G38" s="139">
        <v>3226170</v>
      </c>
      <c r="H38" s="139">
        <v>3295949</v>
      </c>
      <c r="I38" s="139">
        <v>3070380</v>
      </c>
      <c r="J38" s="139">
        <v>3042675</v>
      </c>
      <c r="K38" s="139">
        <v>3016842</v>
      </c>
      <c r="L38" s="139">
        <v>2941114</v>
      </c>
      <c r="M38" s="139">
        <v>2916697</v>
      </c>
      <c r="N38" s="139">
        <v>2823854</v>
      </c>
      <c r="O38" s="140">
        <f>SUM(C38:N38)</f>
        <v>35324455</v>
      </c>
    </row>
    <row r="39" spans="2:15">
      <c r="B39" s="126" t="s">
        <v>455</v>
      </c>
      <c r="C39" s="139">
        <v>1682982</v>
      </c>
      <c r="D39" s="139">
        <v>1803688</v>
      </c>
      <c r="E39" s="139">
        <v>1806378</v>
      </c>
      <c r="F39" s="139">
        <v>2028045</v>
      </c>
      <c r="G39" s="139">
        <v>2088389</v>
      </c>
      <c r="H39" s="139">
        <v>2196262</v>
      </c>
      <c r="I39" s="139">
        <v>2086260</v>
      </c>
      <c r="J39" s="139">
        <v>2116235</v>
      </c>
      <c r="K39" s="139">
        <v>2130085</v>
      </c>
      <c r="L39" s="139">
        <v>2120843</v>
      </c>
      <c r="M39" s="139">
        <v>2135526</v>
      </c>
      <c r="N39" s="139">
        <v>2099227</v>
      </c>
      <c r="O39" s="140">
        <f t="shared" ref="O39:O41" si="46">SUM(C39:N39)</f>
        <v>24293920</v>
      </c>
    </row>
    <row r="40" spans="2:15">
      <c r="B40" s="126" t="s">
        <v>456</v>
      </c>
      <c r="C40" s="139">
        <v>2111165</v>
      </c>
      <c r="D40" s="139">
        <v>2422352</v>
      </c>
      <c r="E40" s="139">
        <v>2258450</v>
      </c>
      <c r="F40" s="139">
        <v>2409389</v>
      </c>
      <c r="G40" s="139">
        <v>2439201</v>
      </c>
      <c r="H40" s="139">
        <v>2566610</v>
      </c>
      <c r="I40" s="139">
        <v>2401122</v>
      </c>
      <c r="J40" s="139">
        <v>2478453</v>
      </c>
      <c r="K40" s="139">
        <v>2490303</v>
      </c>
      <c r="L40" s="139">
        <v>2481591</v>
      </c>
      <c r="M40" s="139">
        <v>2470519</v>
      </c>
      <c r="N40" s="139">
        <v>2314515</v>
      </c>
      <c r="O40" s="140">
        <f t="shared" si="46"/>
        <v>28843670</v>
      </c>
    </row>
    <row r="41" spans="2:15">
      <c r="B41" s="126" t="s">
        <v>457</v>
      </c>
      <c r="C41" s="139">
        <v>211488</v>
      </c>
      <c r="D41" s="139">
        <v>226792</v>
      </c>
      <c r="E41" s="139">
        <v>225294</v>
      </c>
      <c r="F41" s="139">
        <v>230128</v>
      </c>
      <c r="G41" s="139">
        <v>246568</v>
      </c>
      <c r="H41" s="139">
        <v>253720</v>
      </c>
      <c r="I41" s="139">
        <v>242695</v>
      </c>
      <c r="J41" s="139">
        <v>245221</v>
      </c>
      <c r="K41" s="139">
        <v>256658</v>
      </c>
      <c r="L41" s="139">
        <v>247055</v>
      </c>
      <c r="M41" s="139">
        <v>246646</v>
      </c>
      <c r="N41" s="139">
        <v>238283</v>
      </c>
      <c r="O41" s="140">
        <f t="shared" si="46"/>
        <v>2870548</v>
      </c>
    </row>
    <row r="42" spans="2:15">
      <c r="B42" s="127" t="s">
        <v>458</v>
      </c>
      <c r="C42" s="128">
        <f>SUM(C38:C41)</f>
        <v>6519449</v>
      </c>
      <c r="D42" s="128">
        <f t="shared" ref="D42" si="47">SUM(D38:D41)</f>
        <v>7101820</v>
      </c>
      <c r="E42" s="128">
        <f t="shared" ref="E42" si="48">SUM(E38:E41)</f>
        <v>7008838</v>
      </c>
      <c r="F42" s="128">
        <f t="shared" ref="F42" si="49">SUM(F38:F41)</f>
        <v>7776818</v>
      </c>
      <c r="G42" s="128">
        <f t="shared" ref="G42" si="50">SUM(G38:G41)</f>
        <v>8000328</v>
      </c>
      <c r="H42" s="128">
        <f t="shared" ref="H42" si="51">SUM(H38:H41)</f>
        <v>8312541</v>
      </c>
      <c r="I42" s="128">
        <f t="shared" ref="I42" si="52">SUM(I38:I41)</f>
        <v>7800457</v>
      </c>
      <c r="J42" s="128">
        <f t="shared" ref="J42" si="53">SUM(J38:J41)</f>
        <v>7882584</v>
      </c>
      <c r="K42" s="128">
        <f t="shared" ref="K42" si="54">SUM(K38:K41)</f>
        <v>7893888</v>
      </c>
      <c r="L42" s="128">
        <f t="shared" ref="L42" si="55">SUM(L38:L41)</f>
        <v>7790603</v>
      </c>
      <c r="M42" s="128">
        <f t="shared" ref="M42" si="56">SUM(M38:M41)</f>
        <v>7769388</v>
      </c>
      <c r="N42" s="128">
        <f t="shared" ref="N42" si="57">SUM(N38:N41)</f>
        <v>7475879</v>
      </c>
      <c r="O42" s="128">
        <f t="shared" ref="O42" si="58">SUM(O38:O41)</f>
        <v>91332593</v>
      </c>
    </row>
    <row r="44" spans="2:15" ht="15" customHeight="1">
      <c r="B44" s="138" t="s">
        <v>464</v>
      </c>
      <c r="C44" s="138"/>
      <c r="D44" s="138"/>
      <c r="E44" s="138"/>
      <c r="F44" s="138"/>
      <c r="G44" s="138"/>
      <c r="H44" s="138"/>
      <c r="I44" s="138"/>
      <c r="J44" s="138"/>
      <c r="K44" s="138"/>
      <c r="L44" s="138"/>
      <c r="M44" s="138"/>
      <c r="N44" s="138"/>
      <c r="O44" s="138"/>
    </row>
    <row r="45" spans="2:15">
      <c r="B45" s="127" t="s">
        <v>440</v>
      </c>
      <c r="C45" s="127" t="s">
        <v>441</v>
      </c>
      <c r="D45" s="127" t="s">
        <v>442</v>
      </c>
      <c r="E45" s="127" t="s">
        <v>443</v>
      </c>
      <c r="F45" s="127" t="s">
        <v>444</v>
      </c>
      <c r="G45" s="127" t="s">
        <v>445</v>
      </c>
      <c r="H45" s="127" t="s">
        <v>446</v>
      </c>
      <c r="I45" s="127" t="s">
        <v>447</v>
      </c>
      <c r="J45" s="127" t="s">
        <v>448</v>
      </c>
      <c r="K45" s="127" t="s">
        <v>449</v>
      </c>
      <c r="L45" s="127" t="s">
        <v>450</v>
      </c>
      <c r="M45" s="127" t="s">
        <v>451</v>
      </c>
      <c r="N45" s="127" t="s">
        <v>452</v>
      </c>
      <c r="O45" s="127" t="s">
        <v>460</v>
      </c>
    </row>
    <row r="46" spans="2:15">
      <c r="B46" s="126" t="s">
        <v>454</v>
      </c>
      <c r="C46" s="139">
        <v>0</v>
      </c>
      <c r="D46" s="139">
        <v>0</v>
      </c>
      <c r="E46" s="139">
        <v>0</v>
      </c>
      <c r="F46" s="139">
        <v>0</v>
      </c>
      <c r="G46" s="139">
        <v>0</v>
      </c>
      <c r="H46" s="139">
        <v>0</v>
      </c>
      <c r="I46" s="139">
        <v>0</v>
      </c>
      <c r="J46" s="139">
        <v>0</v>
      </c>
      <c r="K46" s="139">
        <v>0</v>
      </c>
      <c r="L46" s="139">
        <v>0</v>
      </c>
      <c r="M46" s="139">
        <v>0</v>
      </c>
      <c r="N46" s="139">
        <v>0</v>
      </c>
      <c r="O46" s="140">
        <f>AVERAGE(C46:N46)</f>
        <v>0</v>
      </c>
    </row>
    <row r="47" spans="2:15">
      <c r="B47" s="126" t="s">
        <v>455</v>
      </c>
      <c r="C47" s="139">
        <v>0</v>
      </c>
      <c r="D47" s="139">
        <v>0</v>
      </c>
      <c r="E47" s="139">
        <v>0</v>
      </c>
      <c r="F47" s="139">
        <v>0</v>
      </c>
      <c r="G47" s="139">
        <v>0</v>
      </c>
      <c r="H47" s="139">
        <v>0</v>
      </c>
      <c r="I47" s="139">
        <v>0</v>
      </c>
      <c r="J47" s="139">
        <v>0</v>
      </c>
      <c r="K47" s="139">
        <v>0</v>
      </c>
      <c r="L47" s="139">
        <v>0</v>
      </c>
      <c r="M47" s="139">
        <v>0</v>
      </c>
      <c r="N47" s="139">
        <v>0</v>
      </c>
      <c r="O47" s="140">
        <f>AVERAGE(C47:N47)</f>
        <v>0</v>
      </c>
    </row>
    <row r="48" spans="2:15">
      <c r="B48" s="126" t="s">
        <v>456</v>
      </c>
      <c r="C48" s="139">
        <v>0</v>
      </c>
      <c r="D48" s="139">
        <v>0</v>
      </c>
      <c r="E48" s="139">
        <v>0</v>
      </c>
      <c r="F48" s="139">
        <v>0</v>
      </c>
      <c r="G48" s="139">
        <v>0</v>
      </c>
      <c r="H48" s="139">
        <v>0</v>
      </c>
      <c r="I48" s="139">
        <v>0</v>
      </c>
      <c r="J48" s="139">
        <v>0</v>
      </c>
      <c r="K48" s="139">
        <v>0</v>
      </c>
      <c r="L48" s="139">
        <v>0</v>
      </c>
      <c r="M48" s="139">
        <v>0</v>
      </c>
      <c r="N48" s="139">
        <v>0</v>
      </c>
      <c r="O48" s="140">
        <f>AVERAGE(C48:N48)</f>
        <v>0</v>
      </c>
    </row>
    <row r="49" spans="2:15">
      <c r="B49" s="126" t="s">
        <v>457</v>
      </c>
      <c r="C49" s="139">
        <v>0</v>
      </c>
      <c r="D49" s="139">
        <v>0</v>
      </c>
      <c r="E49" s="139">
        <v>0</v>
      </c>
      <c r="F49" s="139">
        <v>0</v>
      </c>
      <c r="G49" s="139">
        <v>0</v>
      </c>
      <c r="H49" s="139">
        <v>0</v>
      </c>
      <c r="I49" s="139">
        <v>0</v>
      </c>
      <c r="J49" s="139">
        <v>0</v>
      </c>
      <c r="K49" s="139">
        <v>0</v>
      </c>
      <c r="L49" s="139">
        <v>0</v>
      </c>
      <c r="M49" s="139">
        <v>0</v>
      </c>
      <c r="N49" s="139">
        <v>0</v>
      </c>
      <c r="O49" s="140">
        <f>AVERAGE(C49:N49)</f>
        <v>0</v>
      </c>
    </row>
    <row r="50" spans="2:15">
      <c r="B50" s="127" t="s">
        <v>458</v>
      </c>
      <c r="C50" s="141">
        <f>SUM(C46:C49)</f>
        <v>0</v>
      </c>
      <c r="D50" s="141">
        <f t="shared" ref="D50" si="59">SUM(D46:D49)</f>
        <v>0</v>
      </c>
      <c r="E50" s="141">
        <f t="shared" ref="E50" si="60">SUM(E46:E49)</f>
        <v>0</v>
      </c>
      <c r="F50" s="141">
        <f t="shared" ref="F50" si="61">SUM(F46:F49)</f>
        <v>0</v>
      </c>
      <c r="G50" s="141">
        <f t="shared" ref="G50" si="62">SUM(G46:G49)</f>
        <v>0</v>
      </c>
      <c r="H50" s="141">
        <f t="shared" ref="H50" si="63">SUM(H46:H49)</f>
        <v>0</v>
      </c>
      <c r="I50" s="141">
        <f t="shared" ref="I50" si="64">SUM(I46:I49)</f>
        <v>0</v>
      </c>
      <c r="J50" s="141">
        <f t="shared" ref="J50" si="65">SUM(J46:J49)</f>
        <v>0</v>
      </c>
      <c r="K50" s="141">
        <f t="shared" ref="K50" si="66">SUM(K46:K49)</f>
        <v>0</v>
      </c>
      <c r="L50" s="141">
        <f t="shared" ref="L50" si="67">SUM(L46:L49)</f>
        <v>0</v>
      </c>
      <c r="M50" s="141">
        <f t="shared" ref="M50" si="68">SUM(M46:M49)</f>
        <v>0</v>
      </c>
      <c r="N50" s="141">
        <f>SUM(N46:N49)</f>
        <v>0</v>
      </c>
      <c r="O50" s="141">
        <f>SUM(O46:O49)</f>
        <v>0</v>
      </c>
    </row>
    <row r="53" spans="2:15">
      <c r="B53" s="138" t="s">
        <v>465</v>
      </c>
      <c r="C53" s="138"/>
      <c r="D53" s="138"/>
      <c r="E53" s="138"/>
      <c r="F53" s="138"/>
      <c r="G53" s="138"/>
      <c r="H53" s="138"/>
      <c r="I53" s="138"/>
      <c r="J53" s="138"/>
      <c r="K53" s="138"/>
      <c r="L53" s="138"/>
      <c r="M53" s="138"/>
      <c r="N53" s="138"/>
      <c r="O53" s="138"/>
    </row>
    <row r="54" spans="2:15">
      <c r="B54" s="127" t="s">
        <v>440</v>
      </c>
      <c r="C54" s="127" t="s">
        <v>441</v>
      </c>
      <c r="D54" s="127" t="s">
        <v>442</v>
      </c>
      <c r="E54" s="127" t="s">
        <v>443</v>
      </c>
      <c r="F54" s="127" t="s">
        <v>444</v>
      </c>
      <c r="G54" s="127" t="s">
        <v>445</v>
      </c>
      <c r="H54" s="127" t="s">
        <v>446</v>
      </c>
      <c r="I54" s="127" t="s">
        <v>447</v>
      </c>
      <c r="J54" s="127" t="s">
        <v>448</v>
      </c>
      <c r="K54" s="127" t="s">
        <v>449</v>
      </c>
      <c r="L54" s="127" t="s">
        <v>450</v>
      </c>
      <c r="M54" s="127" t="s">
        <v>451</v>
      </c>
      <c r="N54" s="127" t="s">
        <v>452</v>
      </c>
      <c r="O54" s="127" t="s">
        <v>453</v>
      </c>
    </row>
    <row r="55" spans="2:15">
      <c r="B55" s="126" t="s">
        <v>454</v>
      </c>
      <c r="C55" s="139">
        <v>2604616</v>
      </c>
      <c r="D55" s="139">
        <v>2585277</v>
      </c>
      <c r="E55" s="139">
        <v>2555346</v>
      </c>
      <c r="F55" s="139">
        <v>3195853</v>
      </c>
      <c r="G55" s="139">
        <v>3420450</v>
      </c>
      <c r="H55" s="139">
        <v>3430353</v>
      </c>
      <c r="I55" s="139">
        <v>3236702</v>
      </c>
      <c r="J55" s="139">
        <v>3239638</v>
      </c>
      <c r="K55" s="139">
        <v>3250115</v>
      </c>
      <c r="L55" s="139">
        <v>3178783</v>
      </c>
      <c r="M55" s="139">
        <v>3201690</v>
      </c>
      <c r="N55" s="139">
        <v>3069123</v>
      </c>
      <c r="O55" s="140">
        <f>SUM(C55:N55)</f>
        <v>36967946</v>
      </c>
    </row>
    <row r="56" spans="2:15">
      <c r="B56" s="126" t="s">
        <v>455</v>
      </c>
      <c r="C56" s="139">
        <v>1940395</v>
      </c>
      <c r="D56" s="139">
        <v>2032422</v>
      </c>
      <c r="E56" s="139">
        <v>1873504</v>
      </c>
      <c r="F56" s="139">
        <v>2157495</v>
      </c>
      <c r="G56" s="139">
        <v>2283299</v>
      </c>
      <c r="H56" s="139">
        <v>2324773</v>
      </c>
      <c r="I56" s="139">
        <v>2223437</v>
      </c>
      <c r="J56" s="139">
        <v>2282424</v>
      </c>
      <c r="K56" s="139">
        <v>2300061</v>
      </c>
      <c r="L56" s="139">
        <v>2281913</v>
      </c>
      <c r="M56" s="139">
        <v>2278866</v>
      </c>
      <c r="N56" s="139">
        <v>2257043</v>
      </c>
      <c r="O56" s="140">
        <f t="shared" ref="O56:O58" si="69">SUM(C56:N56)</f>
        <v>26235632</v>
      </c>
    </row>
    <row r="57" spans="2:15">
      <c r="B57" s="126" t="s">
        <v>456</v>
      </c>
      <c r="C57" s="139">
        <v>2168192</v>
      </c>
      <c r="D57" s="139">
        <v>2444818</v>
      </c>
      <c r="E57" s="139">
        <v>2272819</v>
      </c>
      <c r="F57" s="139">
        <v>2440520</v>
      </c>
      <c r="G57" s="139">
        <v>2532612</v>
      </c>
      <c r="H57" s="139">
        <v>2554476</v>
      </c>
      <c r="I57" s="139">
        <v>2475835</v>
      </c>
      <c r="J57" s="139">
        <v>2567142</v>
      </c>
      <c r="K57" s="139">
        <v>2557162</v>
      </c>
      <c r="L57" s="139">
        <v>2554433</v>
      </c>
      <c r="M57" s="139">
        <v>2520755</v>
      </c>
      <c r="N57" s="139">
        <v>2403833</v>
      </c>
      <c r="O57" s="140">
        <f t="shared" si="69"/>
        <v>29492597</v>
      </c>
    </row>
    <row r="58" spans="2:15">
      <c r="B58" s="126" t="s">
        <v>457</v>
      </c>
      <c r="C58" s="139">
        <v>229491</v>
      </c>
      <c r="D58" s="139">
        <v>246294</v>
      </c>
      <c r="E58" s="139">
        <v>228699</v>
      </c>
      <c r="F58" s="139">
        <v>258228</v>
      </c>
      <c r="G58" s="139">
        <v>271767</v>
      </c>
      <c r="H58" s="139">
        <v>267273</v>
      </c>
      <c r="I58" s="139">
        <v>243653</v>
      </c>
      <c r="J58" s="139">
        <v>259112</v>
      </c>
      <c r="K58" s="139">
        <v>276189</v>
      </c>
      <c r="L58" s="139">
        <v>276649</v>
      </c>
      <c r="M58" s="139">
        <v>273307</v>
      </c>
      <c r="N58" s="139">
        <v>281019</v>
      </c>
      <c r="O58" s="140">
        <f t="shared" si="69"/>
        <v>3111681</v>
      </c>
    </row>
    <row r="59" spans="2:15">
      <c r="B59" s="127" t="s">
        <v>458</v>
      </c>
      <c r="C59" s="128">
        <f>SUM(C55:C58)</f>
        <v>6942694</v>
      </c>
      <c r="D59" s="128">
        <f t="shared" ref="D59" si="70">SUM(D55:D58)</f>
        <v>7308811</v>
      </c>
      <c r="E59" s="128">
        <f t="shared" ref="E59" si="71">SUM(E55:E58)</f>
        <v>6930368</v>
      </c>
      <c r="F59" s="128">
        <f t="shared" ref="F59" si="72">SUM(F55:F58)</f>
        <v>8052096</v>
      </c>
      <c r="G59" s="128">
        <f t="shared" ref="G59" si="73">SUM(G55:G58)</f>
        <v>8508128</v>
      </c>
      <c r="H59" s="128">
        <f t="shared" ref="H59" si="74">SUM(H55:H58)</f>
        <v>8576875</v>
      </c>
      <c r="I59" s="128">
        <f t="shared" ref="I59" si="75">SUM(I55:I58)</f>
        <v>8179627</v>
      </c>
      <c r="J59" s="128">
        <f t="shared" ref="J59" si="76">SUM(J55:J58)</f>
        <v>8348316</v>
      </c>
      <c r="K59" s="128">
        <f t="shared" ref="K59" si="77">SUM(K55:K58)</f>
        <v>8383527</v>
      </c>
      <c r="L59" s="128">
        <f t="shared" ref="L59" si="78">SUM(L55:L58)</f>
        <v>8291778</v>
      </c>
      <c r="M59" s="128">
        <f t="shared" ref="M59" si="79">SUM(M55:M58)</f>
        <v>8274618</v>
      </c>
      <c r="N59" s="128">
        <f t="shared" ref="N59" si="80">SUM(N55:N58)</f>
        <v>8011018</v>
      </c>
      <c r="O59" s="128">
        <f t="shared" ref="O59" si="81">SUM(O55:O58)</f>
        <v>95807856</v>
      </c>
    </row>
    <row r="61" spans="2:15">
      <c r="B61" s="138" t="s">
        <v>466</v>
      </c>
      <c r="C61" s="138"/>
      <c r="D61" s="138"/>
      <c r="E61" s="138"/>
      <c r="F61" s="138"/>
      <c r="G61" s="138"/>
      <c r="H61" s="138"/>
      <c r="I61" s="138"/>
      <c r="J61" s="138"/>
      <c r="K61" s="138"/>
      <c r="L61" s="138"/>
      <c r="M61" s="138"/>
      <c r="N61" s="138"/>
      <c r="O61" s="138"/>
    </row>
    <row r="62" spans="2:15">
      <c r="B62" s="127" t="s">
        <v>440</v>
      </c>
      <c r="C62" s="127" t="s">
        <v>441</v>
      </c>
      <c r="D62" s="127" t="s">
        <v>442</v>
      </c>
      <c r="E62" s="127" t="s">
        <v>443</v>
      </c>
      <c r="F62" s="127" t="s">
        <v>444</v>
      </c>
      <c r="G62" s="127" t="s">
        <v>445</v>
      </c>
      <c r="H62" s="127" t="s">
        <v>446</v>
      </c>
      <c r="I62" s="127" t="s">
        <v>447</v>
      </c>
      <c r="J62" s="127" t="s">
        <v>448</v>
      </c>
      <c r="K62" s="127" t="s">
        <v>449</v>
      </c>
      <c r="L62" s="127" t="s">
        <v>450</v>
      </c>
      <c r="M62" s="127" t="s">
        <v>451</v>
      </c>
      <c r="N62" s="127" t="s">
        <v>452</v>
      </c>
      <c r="O62" s="127" t="s">
        <v>460</v>
      </c>
    </row>
    <row r="63" spans="2:15">
      <c r="B63" s="126" t="s">
        <v>454</v>
      </c>
      <c r="C63" s="139">
        <v>15002165</v>
      </c>
      <c r="D63" s="139">
        <v>14751604</v>
      </c>
      <c r="E63" s="139">
        <v>14883486</v>
      </c>
      <c r="F63" s="139">
        <v>14905080</v>
      </c>
      <c r="G63" s="139">
        <v>15068299</v>
      </c>
      <c r="H63" s="139">
        <v>15240678</v>
      </c>
      <c r="I63" s="139">
        <v>15424957</v>
      </c>
      <c r="J63" s="139">
        <v>15554259</v>
      </c>
      <c r="K63" s="139">
        <v>12443104</v>
      </c>
      <c r="L63" s="139">
        <v>15566485</v>
      </c>
      <c r="M63" s="139">
        <v>15834933</v>
      </c>
      <c r="N63" s="139">
        <v>15066261</v>
      </c>
      <c r="O63" s="140">
        <f>AVERAGE(C63:N63)</f>
        <v>14978442.583333334</v>
      </c>
    </row>
    <row r="64" spans="2:15">
      <c r="B64" s="126" t="s">
        <v>455</v>
      </c>
      <c r="C64" s="139">
        <v>1035103</v>
      </c>
      <c r="D64" s="139">
        <v>1027106</v>
      </c>
      <c r="E64" s="139">
        <v>1020591</v>
      </c>
      <c r="F64" s="139">
        <v>1023500</v>
      </c>
      <c r="G64" s="139">
        <v>1065562</v>
      </c>
      <c r="H64" s="139">
        <v>1064605</v>
      </c>
      <c r="I64" s="139">
        <v>1081794</v>
      </c>
      <c r="J64" s="139">
        <v>1095932</v>
      </c>
      <c r="K64" s="139">
        <v>1082655</v>
      </c>
      <c r="L64" s="139">
        <v>1089780</v>
      </c>
      <c r="M64" s="139">
        <v>1106725</v>
      </c>
      <c r="N64" s="139">
        <v>1223101</v>
      </c>
      <c r="O64" s="140">
        <f>AVERAGE(C64:N64)</f>
        <v>1076371.1666666667</v>
      </c>
    </row>
    <row r="65" spans="2:15">
      <c r="B65" s="126" t="s">
        <v>456</v>
      </c>
      <c r="C65" s="139">
        <v>36992</v>
      </c>
      <c r="D65" s="139">
        <v>33363</v>
      </c>
      <c r="E65" s="139">
        <v>33230</v>
      </c>
      <c r="F65" s="139">
        <v>29651</v>
      </c>
      <c r="G65" s="139">
        <v>32157</v>
      </c>
      <c r="H65" s="139">
        <v>34553</v>
      </c>
      <c r="I65" s="139">
        <v>32909</v>
      </c>
      <c r="J65" s="139">
        <v>35750</v>
      </c>
      <c r="K65" s="139">
        <v>35946</v>
      </c>
      <c r="L65" s="139">
        <v>36430</v>
      </c>
      <c r="M65" s="139">
        <v>31735</v>
      </c>
      <c r="N65" s="139">
        <v>30540</v>
      </c>
      <c r="O65" s="140">
        <f>AVERAGE(C65:N65)</f>
        <v>33604.666666666664</v>
      </c>
    </row>
    <row r="66" spans="2:15">
      <c r="B66" s="126" t="s">
        <v>457</v>
      </c>
      <c r="C66" s="139">
        <v>174586</v>
      </c>
      <c r="D66" s="139">
        <v>162421</v>
      </c>
      <c r="E66" s="139">
        <v>186336</v>
      </c>
      <c r="F66" s="139">
        <v>173675</v>
      </c>
      <c r="G66" s="139">
        <v>169195</v>
      </c>
      <c r="H66" s="139">
        <v>177663</v>
      </c>
      <c r="I66" s="139">
        <v>174829</v>
      </c>
      <c r="J66" s="139">
        <v>180374</v>
      </c>
      <c r="K66" s="139">
        <v>178677</v>
      </c>
      <c r="L66" s="139">
        <v>191956</v>
      </c>
      <c r="M66" s="139">
        <v>196248</v>
      </c>
      <c r="N66" s="139">
        <v>171346</v>
      </c>
      <c r="O66" s="140">
        <f>AVERAGE(C66:N66)</f>
        <v>178108.83333333334</v>
      </c>
    </row>
    <row r="67" spans="2:15">
      <c r="B67" s="127" t="s">
        <v>458</v>
      </c>
      <c r="C67" s="141">
        <f>SUM(C63:C66)</f>
        <v>16248846</v>
      </c>
      <c r="D67" s="141">
        <f t="shared" ref="D67" si="82">SUM(D63:D66)</f>
        <v>15974494</v>
      </c>
      <c r="E67" s="141">
        <f t="shared" ref="E67" si="83">SUM(E63:E66)</f>
        <v>16123643</v>
      </c>
      <c r="F67" s="141">
        <f t="shared" ref="F67" si="84">SUM(F63:F66)</f>
        <v>16131906</v>
      </c>
      <c r="G67" s="141">
        <f t="shared" ref="G67" si="85">SUM(G63:G66)</f>
        <v>16335213</v>
      </c>
      <c r="H67" s="141">
        <f t="shared" ref="H67" si="86">SUM(H63:H66)</f>
        <v>16517499</v>
      </c>
      <c r="I67" s="141">
        <f t="shared" ref="I67" si="87">SUM(I63:I66)</f>
        <v>16714489</v>
      </c>
      <c r="J67" s="141">
        <f t="shared" ref="J67" si="88">SUM(J63:J66)</f>
        <v>16866315</v>
      </c>
      <c r="K67" s="141">
        <f t="shared" ref="K67" si="89">SUM(K63:K66)</f>
        <v>13740382</v>
      </c>
      <c r="L67" s="141">
        <f t="shared" ref="L67" si="90">SUM(L63:L66)</f>
        <v>16884651</v>
      </c>
      <c r="M67" s="141">
        <f t="shared" ref="M67" si="91">SUM(M63:M66)</f>
        <v>17169641</v>
      </c>
      <c r="N67" s="141">
        <f>SUM(N63:N66)</f>
        <v>16491248</v>
      </c>
      <c r="O67" s="141">
        <f>SUM(O63:O66)</f>
        <v>16266527.25</v>
      </c>
    </row>
    <row r="70" spans="2:15">
      <c r="B70" s="138" t="s">
        <v>467</v>
      </c>
      <c r="C70" s="138"/>
      <c r="D70" s="138"/>
      <c r="E70" s="138"/>
      <c r="F70" s="138"/>
      <c r="G70" s="138"/>
      <c r="H70" s="138"/>
      <c r="I70" s="138"/>
      <c r="J70" s="138"/>
      <c r="K70" s="138"/>
      <c r="L70" s="138"/>
      <c r="M70" s="138"/>
      <c r="N70" s="138"/>
      <c r="O70" s="138"/>
    </row>
    <row r="71" spans="2:15">
      <c r="B71" s="127" t="s">
        <v>440</v>
      </c>
      <c r="C71" s="127" t="s">
        <v>441</v>
      </c>
      <c r="D71" s="127" t="s">
        <v>442</v>
      </c>
      <c r="E71" s="127" t="s">
        <v>443</v>
      </c>
      <c r="F71" s="127" t="s">
        <v>444</v>
      </c>
      <c r="G71" s="127" t="s">
        <v>445</v>
      </c>
      <c r="H71" s="127" t="s">
        <v>446</v>
      </c>
      <c r="I71" s="127" t="s">
        <v>447</v>
      </c>
      <c r="J71" s="127" t="s">
        <v>448</v>
      </c>
      <c r="K71" s="127" t="s">
        <v>449</v>
      </c>
      <c r="L71" s="127" t="s">
        <v>450</v>
      </c>
      <c r="M71" s="127" t="s">
        <v>451</v>
      </c>
      <c r="N71" s="127" t="s">
        <v>452</v>
      </c>
      <c r="O71" s="127" t="s">
        <v>453</v>
      </c>
    </row>
    <row r="72" spans="2:15">
      <c r="B72" s="126" t="s">
        <v>454</v>
      </c>
      <c r="C72" s="139">
        <v>3044642</v>
      </c>
      <c r="D72" s="139">
        <v>2888943</v>
      </c>
      <c r="E72" s="139">
        <v>2970387</v>
      </c>
      <c r="F72" s="139">
        <v>3671019</v>
      </c>
      <c r="G72" s="139">
        <v>4061491</v>
      </c>
      <c r="H72" s="139">
        <v>3927562</v>
      </c>
      <c r="I72" s="139">
        <v>3556292</v>
      </c>
      <c r="J72" s="139">
        <v>3559554</v>
      </c>
      <c r="K72" s="139">
        <v>3466591</v>
      </c>
      <c r="L72" s="139">
        <v>3406726</v>
      </c>
      <c r="M72" s="139">
        <v>3402127</v>
      </c>
      <c r="N72" s="139">
        <v>3250044</v>
      </c>
      <c r="O72" s="140">
        <f>SUM(C72:N72)</f>
        <v>41205378</v>
      </c>
    </row>
    <row r="73" spans="2:15">
      <c r="B73" s="126" t="s">
        <v>455</v>
      </c>
      <c r="C73" s="139">
        <v>2144984</v>
      </c>
      <c r="D73" s="139">
        <v>2180991</v>
      </c>
      <c r="E73" s="139">
        <v>2120317</v>
      </c>
      <c r="F73" s="139">
        <v>2346383</v>
      </c>
      <c r="G73" s="139">
        <v>2512654</v>
      </c>
      <c r="H73" s="139">
        <v>2502107</v>
      </c>
      <c r="I73" s="139">
        <v>2340555</v>
      </c>
      <c r="J73" s="139">
        <v>2403719</v>
      </c>
      <c r="K73" s="139">
        <v>2389510</v>
      </c>
      <c r="L73" s="139">
        <v>2371115</v>
      </c>
      <c r="M73" s="139">
        <v>2375889</v>
      </c>
      <c r="N73" s="139">
        <v>2344700</v>
      </c>
      <c r="O73" s="140">
        <f t="shared" ref="O73:O75" si="92">SUM(C73:N73)</f>
        <v>28032924</v>
      </c>
    </row>
    <row r="74" spans="2:15">
      <c r="B74" s="126" t="s">
        <v>456</v>
      </c>
      <c r="C74" s="139">
        <v>2338113</v>
      </c>
      <c r="D74" s="139">
        <v>2530489</v>
      </c>
      <c r="E74" s="139">
        <v>2514174</v>
      </c>
      <c r="F74" s="139">
        <v>2592171</v>
      </c>
      <c r="G74" s="139">
        <v>2675795</v>
      </c>
      <c r="H74" s="139">
        <v>2699895</v>
      </c>
      <c r="I74" s="139">
        <v>2582867</v>
      </c>
      <c r="J74" s="139">
        <v>2672530</v>
      </c>
      <c r="K74" s="139">
        <v>2670039</v>
      </c>
      <c r="L74" s="139">
        <v>2633012</v>
      </c>
      <c r="M74" s="139">
        <v>2633286</v>
      </c>
      <c r="N74" s="139">
        <v>2531523</v>
      </c>
      <c r="O74" s="140">
        <f t="shared" si="92"/>
        <v>31073894</v>
      </c>
    </row>
    <row r="75" spans="2:15">
      <c r="B75" s="126" t="s">
        <v>457</v>
      </c>
      <c r="C75" s="139">
        <v>275325</v>
      </c>
      <c r="D75" s="139">
        <v>284063</v>
      </c>
      <c r="E75" s="139">
        <v>289903</v>
      </c>
      <c r="F75" s="139">
        <v>307068</v>
      </c>
      <c r="G75" s="139">
        <v>316853</v>
      </c>
      <c r="H75" s="139">
        <v>302105</v>
      </c>
      <c r="I75" s="139">
        <v>293927</v>
      </c>
      <c r="J75" s="139">
        <v>319437</v>
      </c>
      <c r="K75" s="139">
        <v>305646</v>
      </c>
      <c r="L75" s="139">
        <v>300658</v>
      </c>
      <c r="M75" s="139">
        <v>308178</v>
      </c>
      <c r="N75" s="139">
        <v>292777</v>
      </c>
      <c r="O75" s="140">
        <f t="shared" si="92"/>
        <v>3595940</v>
      </c>
    </row>
    <row r="76" spans="2:15">
      <c r="B76" s="127" t="s">
        <v>458</v>
      </c>
      <c r="C76" s="128">
        <f>SUM(C72:C75)</f>
        <v>7803064</v>
      </c>
      <c r="D76" s="128">
        <f t="shared" ref="D76" si="93">SUM(D72:D75)</f>
        <v>7884486</v>
      </c>
      <c r="E76" s="128">
        <f t="shared" ref="E76" si="94">SUM(E72:E75)</f>
        <v>7894781</v>
      </c>
      <c r="F76" s="128">
        <f t="shared" ref="F76" si="95">SUM(F72:F75)</f>
        <v>8916641</v>
      </c>
      <c r="G76" s="128">
        <f t="shared" ref="G76" si="96">SUM(G72:G75)</f>
        <v>9566793</v>
      </c>
      <c r="H76" s="128">
        <f t="shared" ref="H76" si="97">SUM(H72:H75)</f>
        <v>9431669</v>
      </c>
      <c r="I76" s="128">
        <f t="shared" ref="I76" si="98">SUM(I72:I75)</f>
        <v>8773641</v>
      </c>
      <c r="J76" s="128">
        <f t="shared" ref="J76" si="99">SUM(J72:J75)</f>
        <v>8955240</v>
      </c>
      <c r="K76" s="128">
        <f t="shared" ref="K76" si="100">SUM(K72:K75)</f>
        <v>8831786</v>
      </c>
      <c r="L76" s="128">
        <f t="shared" ref="L76" si="101">SUM(L72:L75)</f>
        <v>8711511</v>
      </c>
      <c r="M76" s="128">
        <f t="shared" ref="M76" si="102">SUM(M72:M75)</f>
        <v>8719480</v>
      </c>
      <c r="N76" s="128">
        <f t="shared" ref="N76" si="103">SUM(N72:N75)</f>
        <v>8419044</v>
      </c>
      <c r="O76" s="128">
        <f t="shared" ref="O76" si="104">SUM(O72:O75)</f>
        <v>103908136</v>
      </c>
    </row>
    <row r="78" spans="2:15">
      <c r="B78" s="138" t="s">
        <v>468</v>
      </c>
      <c r="C78" s="138"/>
      <c r="D78" s="138"/>
      <c r="E78" s="138"/>
      <c r="F78" s="138"/>
      <c r="G78" s="138"/>
      <c r="H78" s="138"/>
      <c r="I78" s="138"/>
      <c r="J78" s="138"/>
      <c r="K78" s="138"/>
      <c r="L78" s="138"/>
      <c r="M78" s="138"/>
      <c r="N78" s="138"/>
      <c r="O78" s="138"/>
    </row>
    <row r="79" spans="2:15">
      <c r="B79" s="127" t="s">
        <v>440</v>
      </c>
      <c r="C79" s="127" t="s">
        <v>441</v>
      </c>
      <c r="D79" s="127" t="s">
        <v>442</v>
      </c>
      <c r="E79" s="127" t="s">
        <v>443</v>
      </c>
      <c r="F79" s="127" t="s">
        <v>444</v>
      </c>
      <c r="G79" s="127" t="s">
        <v>445</v>
      </c>
      <c r="H79" s="127" t="s">
        <v>446</v>
      </c>
      <c r="I79" s="127" t="s">
        <v>447</v>
      </c>
      <c r="J79" s="127" t="s">
        <v>448</v>
      </c>
      <c r="K79" s="127" t="s">
        <v>449</v>
      </c>
      <c r="L79" s="127" t="s">
        <v>450</v>
      </c>
      <c r="M79" s="127" t="s">
        <v>451</v>
      </c>
      <c r="N79" s="127" t="s">
        <v>452</v>
      </c>
      <c r="O79" s="127" t="s">
        <v>460</v>
      </c>
    </row>
    <row r="80" spans="2:15">
      <c r="B80" s="126" t="s">
        <v>454</v>
      </c>
      <c r="C80" s="139">
        <v>34049366</v>
      </c>
      <c r="D80" s="139">
        <v>20039399</v>
      </c>
      <c r="E80" s="139">
        <v>19556183</v>
      </c>
      <c r="F80" s="139">
        <v>19240082</v>
      </c>
      <c r="G80" s="139">
        <v>16039576</v>
      </c>
      <c r="H80" s="139">
        <v>15776613</v>
      </c>
      <c r="I80" s="139">
        <v>18638466</v>
      </c>
      <c r="J80" s="139">
        <v>19394734</v>
      </c>
      <c r="K80" s="139">
        <v>19245178</v>
      </c>
      <c r="L80" s="139">
        <v>15806068</v>
      </c>
      <c r="M80" s="139">
        <v>16553717</v>
      </c>
      <c r="N80" s="139">
        <v>19185738</v>
      </c>
      <c r="O80" s="140">
        <f>AVERAGE(C80:N80)</f>
        <v>19460426.666666668</v>
      </c>
    </row>
    <row r="81" spans="2:15">
      <c r="B81" s="126" t="s">
        <v>455</v>
      </c>
      <c r="C81" s="139">
        <v>2650473</v>
      </c>
      <c r="D81" s="139">
        <v>1510157</v>
      </c>
      <c r="E81" s="139">
        <v>1515616</v>
      </c>
      <c r="F81" s="139">
        <v>1286567</v>
      </c>
      <c r="G81" s="139">
        <v>1478045</v>
      </c>
      <c r="H81" s="139">
        <v>1463140</v>
      </c>
      <c r="I81" s="139">
        <v>1458345</v>
      </c>
      <c r="J81" s="139">
        <v>1495321</v>
      </c>
      <c r="K81" s="139">
        <v>1513270</v>
      </c>
      <c r="L81" s="139">
        <v>1067777</v>
      </c>
      <c r="M81" s="139">
        <v>1360344</v>
      </c>
      <c r="N81" s="139">
        <v>1688922</v>
      </c>
      <c r="O81" s="140">
        <f>AVERAGE(C81:N81)</f>
        <v>1540664.75</v>
      </c>
    </row>
    <row r="82" spans="2:15">
      <c r="B82" s="126" t="s">
        <v>456</v>
      </c>
      <c r="C82" s="139">
        <v>67127</v>
      </c>
      <c r="D82" s="139">
        <v>48739</v>
      </c>
      <c r="E82" s="139">
        <v>47726</v>
      </c>
      <c r="F82" s="139">
        <v>47135</v>
      </c>
      <c r="G82" s="139">
        <v>47447</v>
      </c>
      <c r="H82" s="139">
        <v>46455</v>
      </c>
      <c r="I82" s="139">
        <v>46920</v>
      </c>
      <c r="J82" s="139">
        <v>46401</v>
      </c>
      <c r="K82" s="139">
        <v>46763</v>
      </c>
      <c r="L82" s="139">
        <v>31785</v>
      </c>
      <c r="M82" s="139">
        <v>39118</v>
      </c>
      <c r="N82" s="139">
        <v>46511</v>
      </c>
      <c r="O82" s="140">
        <f>AVERAGE(C82:N82)</f>
        <v>46843.916666666664</v>
      </c>
    </row>
    <row r="83" spans="2:15">
      <c r="B83" s="126" t="s">
        <v>457</v>
      </c>
      <c r="C83" s="139">
        <v>491445</v>
      </c>
      <c r="D83" s="139">
        <v>498748</v>
      </c>
      <c r="E83" s="139">
        <v>397365</v>
      </c>
      <c r="F83" s="139">
        <v>407315</v>
      </c>
      <c r="G83" s="139">
        <v>417587</v>
      </c>
      <c r="H83" s="139">
        <v>393887</v>
      </c>
      <c r="I83" s="139">
        <v>341159</v>
      </c>
      <c r="J83" s="139">
        <v>351818</v>
      </c>
      <c r="K83" s="139">
        <v>332469</v>
      </c>
      <c r="L83" s="139">
        <v>274178</v>
      </c>
      <c r="M83" s="139">
        <v>281232</v>
      </c>
      <c r="N83" s="139">
        <v>339462</v>
      </c>
      <c r="O83" s="140">
        <f>AVERAGE(C83:N83)</f>
        <v>377222.08333333331</v>
      </c>
    </row>
    <row r="84" spans="2:15">
      <c r="B84" s="127" t="s">
        <v>458</v>
      </c>
      <c r="C84" s="141">
        <f>SUM(C80:C83)</f>
        <v>37258411</v>
      </c>
      <c r="D84" s="141">
        <f t="shared" ref="D84" si="105">SUM(D80:D83)</f>
        <v>22097043</v>
      </c>
      <c r="E84" s="141">
        <f t="shared" ref="E84" si="106">SUM(E80:E83)</f>
        <v>21516890</v>
      </c>
      <c r="F84" s="141">
        <f t="shared" ref="F84" si="107">SUM(F80:F83)</f>
        <v>20981099</v>
      </c>
      <c r="G84" s="141">
        <f t="shared" ref="G84" si="108">SUM(G80:G83)</f>
        <v>17982655</v>
      </c>
      <c r="H84" s="141">
        <f t="shared" ref="H84" si="109">SUM(H80:H83)</f>
        <v>17680095</v>
      </c>
      <c r="I84" s="141">
        <f t="shared" ref="I84" si="110">SUM(I80:I83)</f>
        <v>20484890</v>
      </c>
      <c r="J84" s="141">
        <f t="shared" ref="J84" si="111">SUM(J80:J83)</f>
        <v>21288274</v>
      </c>
      <c r="K84" s="141">
        <f t="shared" ref="K84" si="112">SUM(K80:K83)</f>
        <v>21137680</v>
      </c>
      <c r="L84" s="141">
        <f t="shared" ref="L84" si="113">SUM(L80:L83)</f>
        <v>17179808</v>
      </c>
      <c r="M84" s="141">
        <f t="shared" ref="M84" si="114">SUM(M80:M83)</f>
        <v>18234411</v>
      </c>
      <c r="N84" s="141">
        <f>SUM(N80:N83)</f>
        <v>21260633</v>
      </c>
      <c r="O84" s="141">
        <f>SUM(O80:O83)</f>
        <v>21425157.416666668</v>
      </c>
    </row>
    <row r="87" spans="2:15">
      <c r="B87" s="138" t="s">
        <v>469</v>
      </c>
      <c r="C87" s="138"/>
      <c r="D87" s="138"/>
      <c r="E87" s="138"/>
      <c r="F87" s="138"/>
      <c r="G87" s="138"/>
      <c r="H87" s="138"/>
      <c r="I87" s="138"/>
      <c r="J87" s="138"/>
      <c r="K87" s="138"/>
      <c r="L87" s="138"/>
      <c r="M87" s="138"/>
      <c r="N87" s="138"/>
      <c r="O87" s="138"/>
    </row>
    <row r="88" spans="2:15">
      <c r="B88" s="127" t="s">
        <v>440</v>
      </c>
      <c r="C88" s="127" t="s">
        <v>441</v>
      </c>
      <c r="D88" s="127" t="s">
        <v>442</v>
      </c>
      <c r="E88" s="127" t="s">
        <v>443</v>
      </c>
      <c r="F88" s="127" t="s">
        <v>444</v>
      </c>
      <c r="G88" s="127" t="s">
        <v>445</v>
      </c>
      <c r="H88" s="127" t="s">
        <v>446</v>
      </c>
      <c r="I88" s="127" t="s">
        <v>447</v>
      </c>
      <c r="J88" s="127" t="s">
        <v>448</v>
      </c>
      <c r="K88" s="127" t="s">
        <v>449</v>
      </c>
      <c r="L88" s="127" t="s">
        <v>450</v>
      </c>
      <c r="M88" s="127" t="s">
        <v>451</v>
      </c>
      <c r="N88" s="127" t="s">
        <v>452</v>
      </c>
      <c r="O88" s="127" t="s">
        <v>453</v>
      </c>
    </row>
    <row r="89" spans="2:15">
      <c r="B89" s="126" t="s">
        <v>454</v>
      </c>
      <c r="C89" s="139">
        <v>3002698.18</v>
      </c>
      <c r="D89" s="139">
        <v>2968190.17</v>
      </c>
      <c r="E89" s="139">
        <v>2995480.67</v>
      </c>
      <c r="F89" s="139">
        <v>3681249.75</v>
      </c>
      <c r="G89" s="139">
        <v>3841006.05</v>
      </c>
      <c r="H89" s="139">
        <v>3812962.99</v>
      </c>
      <c r="I89" s="139">
        <v>3379976.57</v>
      </c>
      <c r="J89" s="139">
        <v>3457686.78</v>
      </c>
      <c r="K89" s="139">
        <v>3205459.46</v>
      </c>
      <c r="L89" s="139">
        <v>3178186.28</v>
      </c>
      <c r="M89" s="139">
        <v>3348754.35</v>
      </c>
      <c r="N89" s="139">
        <v>3150552.68</v>
      </c>
      <c r="O89" s="140">
        <f>SUM(C89:N89)</f>
        <v>40022203.930000007</v>
      </c>
    </row>
    <row r="90" spans="2:15">
      <c r="B90" s="126" t="s">
        <v>455</v>
      </c>
      <c r="C90" s="139">
        <v>1602643.3</v>
      </c>
      <c r="D90" s="139">
        <v>1680848.39</v>
      </c>
      <c r="E90" s="139">
        <v>1628464.27</v>
      </c>
      <c r="F90" s="139">
        <v>1797251.93</v>
      </c>
      <c r="G90" s="139">
        <v>1872843.57</v>
      </c>
      <c r="H90" s="139">
        <v>1957782.33</v>
      </c>
      <c r="I90" s="139">
        <v>1821128.75</v>
      </c>
      <c r="J90" s="139">
        <v>1884857.25</v>
      </c>
      <c r="K90" s="139">
        <v>1848157.64</v>
      </c>
      <c r="L90" s="139">
        <v>1757072.95</v>
      </c>
      <c r="M90" s="139">
        <v>1806498.43</v>
      </c>
      <c r="N90" s="139">
        <v>1765351.33</v>
      </c>
      <c r="O90" s="140">
        <f t="shared" ref="O90:O92" si="115">SUM(C90:N90)</f>
        <v>21422900.140000001</v>
      </c>
    </row>
    <row r="91" spans="2:15">
      <c r="B91" s="126" t="s">
        <v>456</v>
      </c>
      <c r="C91" s="139">
        <v>910553.73</v>
      </c>
      <c r="D91" s="139">
        <v>910644.26</v>
      </c>
      <c r="E91" s="139">
        <v>859587.26</v>
      </c>
      <c r="F91" s="139">
        <v>917950.05</v>
      </c>
      <c r="G91" s="139">
        <v>925993.62</v>
      </c>
      <c r="H91" s="139">
        <v>974096.36</v>
      </c>
      <c r="I91" s="139">
        <v>907122.9</v>
      </c>
      <c r="J91" s="139">
        <v>985165.08</v>
      </c>
      <c r="K91" s="139">
        <v>900290.8</v>
      </c>
      <c r="L91" s="139">
        <v>814704.43</v>
      </c>
      <c r="M91" s="139">
        <v>811912.83</v>
      </c>
      <c r="N91" s="139">
        <v>804902.27</v>
      </c>
      <c r="O91" s="140">
        <f t="shared" si="115"/>
        <v>10722923.59</v>
      </c>
    </row>
    <row r="92" spans="2:15">
      <c r="B92" s="126" t="s">
        <v>457</v>
      </c>
      <c r="C92" s="139">
        <v>448765.17</v>
      </c>
      <c r="D92" s="139">
        <v>474447.21</v>
      </c>
      <c r="E92" s="139">
        <v>468019.94</v>
      </c>
      <c r="F92" s="139">
        <v>492802.06</v>
      </c>
      <c r="G92" s="139">
        <v>493902.2</v>
      </c>
      <c r="H92" s="139">
        <v>551322.62</v>
      </c>
      <c r="I92" s="139">
        <v>547089.52</v>
      </c>
      <c r="J92" s="139">
        <v>552302.26</v>
      </c>
      <c r="K92" s="139">
        <v>506075.71</v>
      </c>
      <c r="L92" s="139">
        <v>516122.3</v>
      </c>
      <c r="M92" s="139">
        <v>513845.29</v>
      </c>
      <c r="N92" s="139">
        <v>478473.32</v>
      </c>
      <c r="O92" s="140">
        <f t="shared" si="115"/>
        <v>6043167.6000000006</v>
      </c>
    </row>
    <row r="93" spans="2:15">
      <c r="B93" s="127" t="s">
        <v>458</v>
      </c>
      <c r="C93" s="128">
        <f>SUM(C89:C92)</f>
        <v>5964660.3800000008</v>
      </c>
      <c r="D93" s="128">
        <f t="shared" ref="D93:O93" si="116">SUM(D89:D92)</f>
        <v>6034130.0299999993</v>
      </c>
      <c r="E93" s="128">
        <f t="shared" si="116"/>
        <v>5951552.1399999997</v>
      </c>
      <c r="F93" s="128">
        <f t="shared" si="116"/>
        <v>6889253.7899999991</v>
      </c>
      <c r="G93" s="128">
        <f t="shared" si="116"/>
        <v>7133745.4400000004</v>
      </c>
      <c r="H93" s="128">
        <f t="shared" si="116"/>
        <v>7296164.3000000007</v>
      </c>
      <c r="I93" s="128">
        <f t="shared" si="116"/>
        <v>6655317.7400000002</v>
      </c>
      <c r="J93" s="128">
        <f t="shared" si="116"/>
        <v>6880011.3699999992</v>
      </c>
      <c r="K93" s="128">
        <f t="shared" si="116"/>
        <v>6459983.6099999994</v>
      </c>
      <c r="L93" s="128">
        <f t="shared" si="116"/>
        <v>6266085.959999999</v>
      </c>
      <c r="M93" s="128">
        <f t="shared" si="116"/>
        <v>6481010.9000000004</v>
      </c>
      <c r="N93" s="128">
        <f t="shared" si="116"/>
        <v>6199279.5999999996</v>
      </c>
      <c r="O93" s="128">
        <f t="shared" si="116"/>
        <v>78211195.260000005</v>
      </c>
    </row>
    <row r="95" spans="2:15">
      <c r="B95" s="138" t="s">
        <v>470</v>
      </c>
      <c r="C95" s="138"/>
      <c r="D95" s="138"/>
      <c r="E95" s="138"/>
      <c r="F95" s="138"/>
      <c r="G95" s="138"/>
      <c r="H95" s="138"/>
      <c r="I95" s="138"/>
      <c r="J95" s="138"/>
      <c r="K95" s="138"/>
      <c r="L95" s="138"/>
      <c r="M95" s="138"/>
      <c r="N95" s="138"/>
      <c r="O95" s="138"/>
    </row>
    <row r="96" spans="2:15">
      <c r="B96" s="127" t="s">
        <v>440</v>
      </c>
      <c r="C96" s="127" t="s">
        <v>441</v>
      </c>
      <c r="D96" s="127" t="s">
        <v>442</v>
      </c>
      <c r="E96" s="127" t="s">
        <v>443</v>
      </c>
      <c r="F96" s="127" t="s">
        <v>444</v>
      </c>
      <c r="G96" s="127" t="s">
        <v>445</v>
      </c>
      <c r="H96" s="127" t="s">
        <v>446</v>
      </c>
      <c r="I96" s="127" t="s">
        <v>447</v>
      </c>
      <c r="J96" s="127" t="s">
        <v>448</v>
      </c>
      <c r="K96" s="127" t="s">
        <v>449</v>
      </c>
      <c r="L96" s="127" t="s">
        <v>450</v>
      </c>
      <c r="M96" s="127" t="s">
        <v>451</v>
      </c>
      <c r="N96" s="127" t="s">
        <v>452</v>
      </c>
      <c r="O96" s="127" t="s">
        <v>460</v>
      </c>
    </row>
    <row r="97" spans="2:15">
      <c r="B97" s="126" t="s">
        <v>454</v>
      </c>
      <c r="C97" s="139">
        <v>20267333</v>
      </c>
      <c r="D97" s="139">
        <v>20243974</v>
      </c>
      <c r="E97" s="139">
        <v>20523126</v>
      </c>
      <c r="F97" s="139">
        <v>20657719</v>
      </c>
      <c r="G97" s="139">
        <v>20542758</v>
      </c>
      <c r="H97" s="139">
        <v>21090699</v>
      </c>
      <c r="I97" s="139">
        <v>21100925</v>
      </c>
      <c r="J97" s="139">
        <v>20569014</v>
      </c>
      <c r="K97" s="139">
        <v>20333550</v>
      </c>
      <c r="L97" s="139">
        <v>20470804</v>
      </c>
      <c r="M97" s="139">
        <v>20706258</v>
      </c>
      <c r="N97" s="139">
        <v>20843777</v>
      </c>
      <c r="O97" s="140">
        <f>AVERAGE(C97:N97)</f>
        <v>20612494.75</v>
      </c>
    </row>
    <row r="98" spans="2:15">
      <c r="B98" s="126" t="s">
        <v>455</v>
      </c>
      <c r="C98" s="139">
        <v>1587272</v>
      </c>
      <c r="D98" s="139">
        <v>1529023</v>
      </c>
      <c r="E98" s="139">
        <v>1550077</v>
      </c>
      <c r="F98" s="139">
        <v>1554846</v>
      </c>
      <c r="G98" s="139">
        <v>1563208</v>
      </c>
      <c r="H98" s="139">
        <v>1595113</v>
      </c>
      <c r="I98" s="139">
        <v>1595725</v>
      </c>
      <c r="J98" s="139">
        <v>1577452</v>
      </c>
      <c r="K98" s="139">
        <v>1573293</v>
      </c>
      <c r="L98" s="139">
        <v>1570463</v>
      </c>
      <c r="M98" s="139">
        <v>1586197</v>
      </c>
      <c r="N98" s="139">
        <v>1586850</v>
      </c>
      <c r="O98" s="140">
        <f>AVERAGE(C98:N98)</f>
        <v>1572459.9166666667</v>
      </c>
    </row>
    <row r="99" spans="2:15">
      <c r="B99" s="126" t="s">
        <v>456</v>
      </c>
      <c r="C99" s="139">
        <v>50631</v>
      </c>
      <c r="D99" s="139">
        <v>51063</v>
      </c>
      <c r="E99" s="139">
        <v>52834</v>
      </c>
      <c r="F99" s="139">
        <v>51464</v>
      </c>
      <c r="G99" s="139">
        <v>50460</v>
      </c>
      <c r="H99" s="139">
        <v>51717</v>
      </c>
      <c r="I99" s="139">
        <v>52155</v>
      </c>
      <c r="J99" s="139">
        <v>50437</v>
      </c>
      <c r="K99" s="139">
        <v>50079</v>
      </c>
      <c r="L99" s="139">
        <v>50853</v>
      </c>
      <c r="M99" s="139">
        <v>50794</v>
      </c>
      <c r="N99" s="139">
        <v>187773</v>
      </c>
      <c r="O99" s="140">
        <f>AVERAGE(C99:N99)</f>
        <v>62521.666666666664</v>
      </c>
    </row>
    <row r="100" spans="2:15">
      <c r="B100" s="126" t="s">
        <v>457</v>
      </c>
      <c r="C100" s="139">
        <v>390063</v>
      </c>
      <c r="D100" s="139">
        <v>381015</v>
      </c>
      <c r="E100" s="139">
        <v>383849</v>
      </c>
      <c r="F100" s="139">
        <v>386521</v>
      </c>
      <c r="G100" s="139">
        <v>385165</v>
      </c>
      <c r="H100" s="139">
        <v>393012</v>
      </c>
      <c r="I100" s="139">
        <v>393690</v>
      </c>
      <c r="J100" s="139">
        <v>381460</v>
      </c>
      <c r="K100" s="139">
        <v>374772</v>
      </c>
      <c r="L100" s="139">
        <v>375997</v>
      </c>
      <c r="M100" s="139">
        <v>375985</v>
      </c>
      <c r="N100" s="139">
        <v>382524</v>
      </c>
      <c r="O100" s="140">
        <f>AVERAGE(C100:N100)</f>
        <v>383671.08333333331</v>
      </c>
    </row>
    <row r="101" spans="2:15">
      <c r="B101" s="127" t="s">
        <v>458</v>
      </c>
      <c r="C101" s="141">
        <f>SUM(C97:C100)</f>
        <v>22295299</v>
      </c>
      <c r="D101" s="141">
        <f t="shared" ref="D101" si="117">SUM(D97:D100)</f>
        <v>22205075</v>
      </c>
      <c r="E101" s="141">
        <f t="shared" ref="E101" si="118">SUM(E97:E100)</f>
        <v>22509886</v>
      </c>
      <c r="F101" s="141">
        <f t="shared" ref="F101" si="119">SUM(F97:F100)</f>
        <v>22650550</v>
      </c>
      <c r="G101" s="141">
        <f t="shared" ref="G101" si="120">SUM(G97:G100)</f>
        <v>22541591</v>
      </c>
      <c r="H101" s="141">
        <f t="shared" ref="H101" si="121">SUM(H97:H100)</f>
        <v>23130541</v>
      </c>
      <c r="I101" s="141">
        <f t="shared" ref="I101" si="122">SUM(I97:I100)</f>
        <v>23142495</v>
      </c>
      <c r="J101" s="141">
        <f t="shared" ref="J101" si="123">SUM(J97:J100)</f>
        <v>22578363</v>
      </c>
      <c r="K101" s="141">
        <f t="shared" ref="K101" si="124">SUM(K97:K100)</f>
        <v>22331694</v>
      </c>
      <c r="L101" s="141">
        <f t="shared" ref="L101" si="125">SUM(L97:L100)</f>
        <v>22468117</v>
      </c>
      <c r="M101" s="141">
        <f t="shared" ref="M101" si="126">SUM(M97:M100)</f>
        <v>22719234</v>
      </c>
      <c r="N101" s="141">
        <f>SUM(N97:N100)</f>
        <v>23000924</v>
      </c>
      <c r="O101" s="141">
        <f>SUM(O97:O100)</f>
        <v>22631147.416666668</v>
      </c>
    </row>
  </sheetData>
  <mergeCells count="1">
    <mergeCell ref="AE3:AG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3743A41FB30C46A2991AF6B57BACC0" ma:contentTypeVersion="6" ma:contentTypeDescription="Create a new document." ma:contentTypeScope="" ma:versionID="e3c5c7fbe32187327af31feb39d4bd8c">
  <xsd:schema xmlns:xsd="http://www.w3.org/2001/XMLSchema" xmlns:xs="http://www.w3.org/2001/XMLSchema" xmlns:p="http://schemas.microsoft.com/office/2006/metadata/properties" xmlns:ns2="ddd3edbe-2ae3-43fc-a7d8-0b8065748a11" xmlns:ns3="35de94ed-f387-46ae-acc7-31366ddf52cd" targetNamespace="http://schemas.microsoft.com/office/2006/metadata/properties" ma:root="true" ma:fieldsID="355e0546417cdf9c9628c6cfed5a905d" ns2:_="" ns3:_="">
    <xsd:import namespace="ddd3edbe-2ae3-43fc-a7d8-0b8065748a11"/>
    <xsd:import namespace="35de94ed-f387-46ae-acc7-31366ddf52c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d3edbe-2ae3-43fc-a7d8-0b8065748a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de94ed-f387-46ae-acc7-31366ddf52c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6B8DE8-CED4-42DD-B8B8-52BEE3E3163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0F296DB-9861-4049-B297-2E49E5E839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d3edbe-2ae3-43fc-a7d8-0b8065748a11"/>
    <ds:schemaRef ds:uri="35de94ed-f387-46ae-acc7-31366ddf52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A9D37E-8EF8-472F-A4C7-9AE6CE18785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Residential Non-Lifeline</vt:lpstr>
      <vt:lpstr>Sales and Customer Count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Joseph Ian Kim B. Vidon</dc:creator>
  <cp:keywords/>
  <dc:description/>
  <cp:lastModifiedBy>Michelle Ann P. Mingo</cp:lastModifiedBy>
  <cp:revision/>
  <dcterms:created xsi:type="dcterms:W3CDTF">2025-04-22T07:12:57Z</dcterms:created>
  <dcterms:modified xsi:type="dcterms:W3CDTF">2026-05-28T00:00:50Z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0x010100C03743A41FB30C46A2991AF6B57BACC0</vt:lpwstr>
  </property>
</Properties>
</file>